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ama\Downloads\"/>
    </mc:Choice>
  </mc:AlternateContent>
  <xr:revisionPtr revIDLastSave="0" documentId="13_ncr:1_{4582FA70-8D52-4F70-AEE2-BD40257486DF}" xr6:coauthVersionLast="47" xr6:coauthVersionMax="47" xr10:uidLastSave="{00000000-0000-0000-0000-000000000000}"/>
  <bookViews>
    <workbookView xWindow="-120" yWindow="-120" windowWidth="51840" windowHeight="21120" tabRatio="789" xr2:uid="{00000000-000D-0000-FFFF-FFFF00000000}"/>
  </bookViews>
  <sheets>
    <sheet name="Чек лист_ДП_Отчет" sheetId="4" r:id="rId1"/>
    <sheet name="Тех_метки_для_Python" sheetId="5" state="hidden" r:id="rId2"/>
    <sheet name="вспомогательная таблица" sheetId="3" state="hidden" r:id="rId3"/>
  </sheets>
  <definedNames>
    <definedName name="_xlnm._FilterDatabase" localSheetId="0" hidden="1">'Чек лист_ДП_Отчет'!$A$17:$AZ$17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8" i="4" l="1"/>
  <c r="AM52" i="4"/>
  <c r="AM51" i="4"/>
  <c r="AF52" i="4"/>
  <c r="AF51" i="4"/>
  <c r="Y52" i="4"/>
  <c r="Y51" i="4"/>
  <c r="R52" i="4"/>
  <c r="R51" i="4"/>
  <c r="K52" i="4"/>
  <c r="K51" i="4"/>
  <c r="W9" i="4"/>
  <c r="W8" i="4"/>
  <c r="W7" i="4"/>
  <c r="W6" i="4"/>
  <c r="W5" i="4"/>
  <c r="V9" i="4"/>
  <c r="V8" i="4"/>
  <c r="V7" i="4"/>
  <c r="V6" i="4"/>
  <c r="V5" i="4"/>
  <c r="U9" i="4"/>
  <c r="U8" i="4"/>
  <c r="U7" i="4"/>
  <c r="U6" i="4"/>
  <c r="U5" i="4"/>
  <c r="T9" i="4"/>
  <c r="T8" i="4"/>
  <c r="T7" i="4"/>
  <c r="T6" i="4"/>
  <c r="T5" i="4"/>
  <c r="S9" i="4"/>
  <c r="S8" i="4"/>
  <c r="S7" i="4"/>
  <c r="S6" i="4"/>
  <c r="S5" i="4"/>
  <c r="AI9" i="4"/>
  <c r="AI7" i="4"/>
  <c r="AI6" i="4"/>
  <c r="AP67" i="4"/>
  <c r="AI67" i="4"/>
  <c r="AB67" i="4"/>
  <c r="U67" i="4"/>
  <c r="AL50" i="4"/>
  <c r="AE50" i="4"/>
  <c r="X50" i="4"/>
  <c r="Q50" i="4"/>
  <c r="J50" i="4"/>
  <c r="Y9" i="4"/>
  <c r="Y8" i="4"/>
  <c r="Y7" i="4"/>
  <c r="Y6" i="4"/>
  <c r="Y5" i="4"/>
  <c r="AD5" i="4"/>
  <c r="R53" i="4" l="1"/>
  <c r="K53" i="4"/>
  <c r="AM53" i="4"/>
  <c r="AF53" i="4"/>
  <c r="Y53" i="4"/>
  <c r="AD6" i="4"/>
  <c r="AD7" i="4"/>
  <c r="AD8" i="4"/>
  <c r="AD9" i="4"/>
  <c r="AU22" i="4"/>
  <c r="AV22" i="4"/>
  <c r="AW22" i="4"/>
  <c r="AU23" i="4"/>
  <c r="AV23" i="4"/>
  <c r="AW23" i="4"/>
  <c r="AU18" i="4"/>
  <c r="AV18" i="4"/>
  <c r="AW18" i="4"/>
  <c r="AU19" i="4"/>
  <c r="AV19" i="4"/>
  <c r="AW19" i="4"/>
  <c r="AU20" i="4"/>
  <c r="AV20" i="4"/>
  <c r="AW20" i="4"/>
  <c r="AU24" i="4"/>
  <c r="AV24" i="4"/>
  <c r="AW24" i="4"/>
  <c r="AU25" i="4"/>
  <c r="AV25" i="4"/>
  <c r="AW25" i="4"/>
  <c r="AU26" i="4"/>
  <c r="AV26" i="4"/>
  <c r="AW26" i="4"/>
  <c r="AU27" i="4"/>
  <c r="AV27" i="4"/>
  <c r="AW27" i="4"/>
  <c r="AU28" i="4"/>
  <c r="AV28" i="4"/>
  <c r="AW28" i="4"/>
  <c r="AU29" i="4"/>
  <c r="AV29" i="4"/>
  <c r="AW29" i="4"/>
  <c r="AU30" i="4"/>
  <c r="AV30" i="4"/>
  <c r="AW30" i="4"/>
  <c r="AU32" i="4"/>
  <c r="AV32" i="4"/>
  <c r="AW32" i="4"/>
  <c r="AU33" i="4"/>
  <c r="AV33" i="4"/>
  <c r="AW33" i="4"/>
  <c r="AU34" i="4"/>
  <c r="AV34" i="4"/>
  <c r="AW34" i="4"/>
  <c r="AU35" i="4"/>
  <c r="AV35" i="4"/>
  <c r="AW35" i="4"/>
  <c r="AU36" i="4"/>
  <c r="AF7" i="4" s="1"/>
  <c r="AV36" i="4"/>
  <c r="AF8" i="4" s="1"/>
  <c r="AW36" i="4"/>
  <c r="AF9" i="4" s="1"/>
  <c r="AU38" i="4"/>
  <c r="AV38" i="4"/>
  <c r="AW38" i="4"/>
  <c r="AU39" i="4"/>
  <c r="AV39" i="4"/>
  <c r="AW39" i="4"/>
  <c r="AU40" i="4"/>
  <c r="AV40" i="4"/>
  <c r="AW40" i="4"/>
  <c r="AU41" i="4"/>
  <c r="AV41" i="4"/>
  <c r="AW41" i="4"/>
  <c r="AU42" i="4"/>
  <c r="AV42" i="4"/>
  <c r="AW42" i="4"/>
  <c r="AU43" i="4"/>
  <c r="AV43" i="4"/>
  <c r="AW43" i="4"/>
  <c r="AU45" i="4"/>
  <c r="AV45" i="4"/>
  <c r="AW45" i="4"/>
  <c r="AU46" i="4"/>
  <c r="AV46" i="4"/>
  <c r="AW46" i="4"/>
  <c r="AU47" i="4"/>
  <c r="AV47" i="4"/>
  <c r="AW47" i="4"/>
  <c r="AU48" i="4"/>
  <c r="AV48" i="4"/>
  <c r="AW48" i="4"/>
  <c r="AW21" i="4"/>
  <c r="AV21" i="4"/>
  <c r="AU21" i="4"/>
  <c r="AW51" i="4" l="1"/>
  <c r="AE9" i="4" s="1"/>
  <c r="AG9" i="4" s="1"/>
  <c r="AV51" i="4"/>
  <c r="AE8" i="4" s="1"/>
  <c r="AG8" i="4" s="1"/>
  <c r="AU51" i="4"/>
  <c r="AE7" i="4" s="1"/>
  <c r="AG7" i="4" s="1"/>
  <c r="AT48" i="4"/>
  <c r="AS48" i="4"/>
  <c r="K71" i="4"/>
  <c r="AS22" i="4" l="1"/>
  <c r="AT22" i="4"/>
  <c r="AS23" i="4"/>
  <c r="AT23" i="4"/>
  <c r="AS18" i="4"/>
  <c r="AT18" i="4"/>
  <c r="AS19" i="4"/>
  <c r="AT19" i="4"/>
  <c r="AS20" i="4"/>
  <c r="AT20" i="4"/>
  <c r="AS24" i="4"/>
  <c r="AT24" i="4"/>
  <c r="AS25" i="4"/>
  <c r="AT25" i="4"/>
  <c r="AS26" i="4"/>
  <c r="AT26" i="4"/>
  <c r="AS27" i="4"/>
  <c r="AT27" i="4"/>
  <c r="AS28" i="4"/>
  <c r="AT28" i="4"/>
  <c r="AS29" i="4"/>
  <c r="AT29" i="4"/>
  <c r="AS30" i="4"/>
  <c r="AT30" i="4"/>
  <c r="AS32" i="4"/>
  <c r="AT32" i="4"/>
  <c r="AS33" i="4"/>
  <c r="AT33" i="4"/>
  <c r="AS34" i="4"/>
  <c r="AT34" i="4"/>
  <c r="AS35" i="4"/>
  <c r="AT35" i="4"/>
  <c r="AS36" i="4"/>
  <c r="AF5" i="4" s="1"/>
  <c r="AT36" i="4"/>
  <c r="AF6" i="4" s="1"/>
  <c r="AS38" i="4"/>
  <c r="AT38" i="4"/>
  <c r="AS39" i="4"/>
  <c r="AT39" i="4"/>
  <c r="AS40" i="4"/>
  <c r="AT40" i="4"/>
  <c r="AS41" i="4"/>
  <c r="AT41" i="4"/>
  <c r="AS42" i="4"/>
  <c r="AT42" i="4"/>
  <c r="AS43" i="4"/>
  <c r="AT43" i="4"/>
  <c r="AS45" i="4"/>
  <c r="AT45" i="4"/>
  <c r="AS46" i="4"/>
  <c r="AT46" i="4"/>
  <c r="AS47" i="4"/>
  <c r="AT47" i="4"/>
  <c r="AE16" i="4" l="1"/>
  <c r="N67" i="4" l="1"/>
  <c r="X16" i="4" l="1"/>
  <c r="AT21" i="4" l="1"/>
  <c r="AT51" i="4" s="1"/>
  <c r="AE6" i="4" s="1"/>
  <c r="AG6" i="4" s="1"/>
  <c r="AS21" i="4"/>
  <c r="AS51" i="4" s="1"/>
  <c r="AE5" i="4" s="1"/>
  <c r="AG5" i="4" s="1"/>
  <c r="K54" i="4"/>
  <c r="AI5" i="4" s="1"/>
  <c r="K55" i="4"/>
  <c r="AL16" i="4"/>
  <c r="Q16" i="4"/>
  <c r="J16" i="4"/>
  <c r="K56" i="4" l="1"/>
  <c r="K72" i="4" s="1"/>
  <c r="AH6" i="4"/>
  <c r="AH8" i="4"/>
  <c r="AH5" i="4"/>
  <c r="AH7" i="4"/>
  <c r="AH9" i="4"/>
</calcChain>
</file>

<file path=xl/sharedStrings.xml><?xml version="1.0" encoding="utf-8"?>
<sst xmlns="http://schemas.openxmlformats.org/spreadsheetml/2006/main" count="203" uniqueCount="161">
  <si>
    <t>0 шаг</t>
  </si>
  <si>
    <t>1 шаг</t>
  </si>
  <si>
    <t>Замер ВПТ</t>
  </si>
  <si>
    <t>1.1 шаг</t>
  </si>
  <si>
    <t>Получение координат  выборки</t>
  </si>
  <si>
    <t>2 шаг</t>
  </si>
  <si>
    <t>Выкладка выборки тарных единиц товара</t>
  </si>
  <si>
    <t>3 шаг</t>
  </si>
  <si>
    <t>Проверка весов</t>
  </si>
  <si>
    <t>4 шаг</t>
  </si>
  <si>
    <t>Контрольное взвешивание выборки</t>
  </si>
  <si>
    <t>5 шаг</t>
  </si>
  <si>
    <t>6 шаг</t>
  </si>
  <si>
    <t>7 шаг</t>
  </si>
  <si>
    <t>8 шаг</t>
  </si>
  <si>
    <t>Сортировка на фракции (категории)</t>
  </si>
  <si>
    <t>9 шаг</t>
  </si>
  <si>
    <t>Разрушающий контроль</t>
  </si>
  <si>
    <t>10 шаг</t>
  </si>
  <si>
    <t>Контрольное взвешивание</t>
  </si>
  <si>
    <t>Поставщик</t>
  </si>
  <si>
    <t>Код товара</t>
  </si>
  <si>
    <t>Название товара</t>
  </si>
  <si>
    <t>ВПТ</t>
  </si>
  <si>
    <t>М брака кг/шт</t>
  </si>
  <si>
    <t>Нестандарт масса кг/шт</t>
  </si>
  <si>
    <t>М осыпи/
листьев/
капусты/
земли</t>
  </si>
  <si>
    <t>М калибра</t>
  </si>
  <si>
    <t>% брака по допуску</t>
  </si>
  <si>
    <t>% брака</t>
  </si>
  <si>
    <t>% Нестандарт</t>
  </si>
  <si>
    <t>осыпи/
листьев/
капусты/
земли %</t>
  </si>
  <si>
    <t>Brix</t>
  </si>
  <si>
    <t>да</t>
  </si>
  <si>
    <t>нет</t>
  </si>
  <si>
    <t>4. Чек лист по контролю приемки по качеству (ДП)</t>
  </si>
  <si>
    <t>Нужно сделать справочник</t>
  </si>
  <si>
    <t>Расчетный показатель</t>
  </si>
  <si>
    <t>расчетный показатель</t>
  </si>
  <si>
    <t>№</t>
  </si>
  <si>
    <t>ID заявки / поставки</t>
  </si>
  <si>
    <t>РЦ</t>
  </si>
  <si>
    <t>Формат приемки</t>
  </si>
  <si>
    <t>МОКК</t>
  </si>
  <si>
    <t>ДП (ID)</t>
  </si>
  <si>
    <t>SKU</t>
  </si>
  <si>
    <t>Шаг</t>
  </si>
  <si>
    <t>Этап</t>
  </si>
  <si>
    <t>Вопрос</t>
  </si>
  <si>
    <t>Статус 
(да/нет)</t>
  </si>
  <si>
    <t xml:space="preserve">тайм код 
</t>
  </si>
  <si>
    <t xml:space="preserve">Акт ТМЦ расположен на столе </t>
  </si>
  <si>
    <t>Таблички категорий разложены на столе</t>
  </si>
  <si>
    <t>Не контролируем данный шаг</t>
  </si>
  <si>
    <t>Выборка расположена к камере скотчем</t>
  </si>
  <si>
    <t>Скотч виден на каждой тарной единицы</t>
  </si>
  <si>
    <t>Весы исправны, включены и работают</t>
  </si>
  <si>
    <t>Сделано ли обнуление прибора</t>
  </si>
  <si>
    <t>Взвешивание произведено</t>
  </si>
  <si>
    <t>Сколько раз была выкладка выборки на стол в 1 слой</t>
  </si>
  <si>
    <t xml:space="preserve">Проверен веером цветности </t>
  </si>
  <si>
    <t>Веер цветности расположен по центру стола и не закрывает товарные единицы</t>
  </si>
  <si>
    <t>Разложены единицы товара по ячейкам с табличками, в 1 слой.</t>
  </si>
  <si>
    <t>Разложеные единицы товара в ячейках соответствуют категории/табличке</t>
  </si>
  <si>
    <r>
      <t>Измерение плотности</t>
    </r>
    <r>
      <rPr>
        <sz val="11"/>
        <color rgb="FFFF0000"/>
        <rFont val="Calibri"/>
        <family val="2"/>
        <charset val="204"/>
        <scheme val="minor"/>
      </rPr>
      <t>*</t>
    </r>
  </si>
  <si>
    <t>Сделан замер корректно в соответствии с инструкцией к прибору и бизнес процессом</t>
  </si>
  <si>
    <r>
      <t>Измерение сахара, Brix</t>
    </r>
    <r>
      <rPr>
        <sz val="11"/>
        <color rgb="FFFF0000"/>
        <rFont val="Calibri"/>
        <family val="2"/>
        <charset val="204"/>
        <scheme val="minor"/>
      </rPr>
      <t>*</t>
    </r>
  </si>
  <si>
    <t>Сделан замер корректно в соответствии с инструкцией и бизнес процессом</t>
  </si>
  <si>
    <t>Взвешана тара, сделано обнуление весов</t>
  </si>
  <si>
    <t>мин</t>
  </si>
  <si>
    <t>мак</t>
  </si>
  <si>
    <t>Время</t>
  </si>
  <si>
    <t>Мини Чек лист, оценки качества сотрудником ДП</t>
  </si>
  <si>
    <t>Тип дефекта</t>
  </si>
  <si>
    <t>визуальная оценка по камере</t>
  </si>
  <si>
    <t>Кол-во ед. товара с дефектами</t>
  </si>
  <si>
    <t>Комментарий ДП</t>
  </si>
  <si>
    <t>ИТОГО</t>
  </si>
  <si>
    <t>Кол-во ошибок на качество</t>
  </si>
  <si>
    <t>Выкладка выборки на стол</t>
  </si>
  <si>
    <t>Каждая единица товара разложена на стол в 1 слой</t>
  </si>
  <si>
    <t>Калибр %</t>
  </si>
  <si>
    <t>М выборки кг/шт</t>
  </si>
  <si>
    <t>Время подключения</t>
  </si>
  <si>
    <t>СК</t>
  </si>
  <si>
    <t>архив</t>
  </si>
  <si>
    <t>онлайн</t>
  </si>
  <si>
    <t>Очистить рабочее пространство</t>
  </si>
  <si>
    <t>Очищен стол от выборки</t>
  </si>
  <si>
    <t>Окончание приемки (Заполнение отчета)</t>
  </si>
  <si>
    <t>Если при приемки сложно увидеть качество товара через камеру, то после осматриваем по фотографиям от МОКК.</t>
  </si>
  <si>
    <t>**В рамках 1 поставки 1 SKU паралельно совершать шаги можно (Например: 7,8 шаги делаются паралельно).**</t>
  </si>
  <si>
    <t>При нарушении последовательности шагов, отметить в комментарии "нарушение последовательности шаг__" (например: сделано контрольное взвешивание,. После данного шага сделан шаг измерение Brix, плотность)</t>
  </si>
  <si>
    <t>Дата (тек. Дата)</t>
  </si>
  <si>
    <t xml:space="preserve">Замер лимитирующих дефектов/калибра сделан коректно на камеру. </t>
  </si>
  <si>
    <r>
      <t xml:space="preserve">Ошибки в АРМ ДП </t>
    </r>
    <r>
      <rPr>
        <b/>
        <sz val="11"/>
        <color rgb="FFFF0000"/>
        <rFont val="Calibri"/>
        <family val="2"/>
        <charset val="204"/>
        <scheme val="minor"/>
      </rPr>
      <t>(указываем если были ошибки)</t>
    </r>
  </si>
  <si>
    <r>
      <t>*</t>
    </r>
    <r>
      <rPr>
        <sz val="11"/>
        <color rgb="FFFF0000"/>
        <rFont val="Calibri"/>
        <family val="2"/>
        <charset val="204"/>
        <scheme val="minor"/>
      </rPr>
      <t>если это требуется по паспорту качества данного SKU</t>
    </r>
  </si>
  <si>
    <r>
      <t>Определение сорта / цветности</t>
    </r>
    <r>
      <rPr>
        <sz val="11"/>
        <color rgb="FFFF0000"/>
        <rFont val="Calibri"/>
        <family val="2"/>
        <charset val="204"/>
        <scheme val="minor"/>
      </rPr>
      <t>*</t>
    </r>
  </si>
  <si>
    <t>Комментарий</t>
  </si>
  <si>
    <t xml:space="preserve">Каждая товарная единица осмотрена со всех сторон </t>
  </si>
  <si>
    <t>Разрушающий контроль сделан корректно (не менее 2 % от общей выборки из категории качества)</t>
  </si>
  <si>
    <t>АРМ 1</t>
  </si>
  <si>
    <t>Код ошибки</t>
  </si>
  <si>
    <t>0.1</t>
  </si>
  <si>
    <t>1.1</t>
  </si>
  <si>
    <t>1.2</t>
  </si>
  <si>
    <t>2.1</t>
  </si>
  <si>
    <t>2.2</t>
  </si>
  <si>
    <t>3.1</t>
  </si>
  <si>
    <t>3.3</t>
  </si>
  <si>
    <t>4.1</t>
  </si>
  <si>
    <t>5.1</t>
  </si>
  <si>
    <t>5.2</t>
  </si>
  <si>
    <t>5.3</t>
  </si>
  <si>
    <t>6.1</t>
  </si>
  <si>
    <t>6.2</t>
  </si>
  <si>
    <t>7.1</t>
  </si>
  <si>
    <t>7.2</t>
  </si>
  <si>
    <t>7.3</t>
  </si>
  <si>
    <t>7.4</t>
  </si>
  <si>
    <t>7.5</t>
  </si>
  <si>
    <t>8.1</t>
  </si>
  <si>
    <t>8.4</t>
  </si>
  <si>
    <t>8.5</t>
  </si>
  <si>
    <t>8.7</t>
  </si>
  <si>
    <t>8.8</t>
  </si>
  <si>
    <t>9.1</t>
  </si>
  <si>
    <t>9.4</t>
  </si>
  <si>
    <t>9.6</t>
  </si>
  <si>
    <t>10.1</t>
  </si>
  <si>
    <t>счетчик ошибок</t>
  </si>
  <si>
    <t>Характер брака/нестандарта</t>
  </si>
  <si>
    <t>счетчик ошибок в арм дп</t>
  </si>
  <si>
    <t>Время на приемку на РЦ</t>
  </si>
  <si>
    <t>Кол-во ошибок по процесу (арм + процес)</t>
  </si>
  <si>
    <t>Взвешана каждая категория товара в таре: брак, не стандарт, не калибр, осыпь</t>
  </si>
  <si>
    <t>Расположен прибор на столе с единицей товара</t>
  </si>
  <si>
    <t>Пустую тару (короб, упаковку, сетку) из выборки взвесить на весах</t>
  </si>
  <si>
    <t>М осыпи/
листьев/
капусты/
земли %</t>
  </si>
  <si>
    <t>Для подсчета времени в установленный срок, когда была закончена приемка</t>
  </si>
  <si>
    <t>макс</t>
  </si>
  <si>
    <t>Время на проверку и заполнение по поставке</t>
  </si>
  <si>
    <t>Время на заполнение чек листа после приемки</t>
  </si>
  <si>
    <t>Код / код ошибки</t>
  </si>
  <si>
    <r>
      <rPr>
        <sz val="11"/>
        <color rgb="FFFF0000"/>
        <rFont val="Calibri"/>
        <family val="2"/>
        <charset val="204"/>
        <scheme val="minor"/>
      </rPr>
      <t>**</t>
    </r>
    <r>
      <rPr>
        <sz val="11"/>
        <color theme="1"/>
        <rFont val="Calibri"/>
        <family val="2"/>
        <charset val="204"/>
        <scheme val="minor"/>
      </rPr>
      <t xml:space="preserve"> если в поставке есть 2 и более SKU которые требуют замеры Brix</t>
    </r>
  </si>
  <si>
    <t>** Если в поставке 2 и более SKU однородны, должен быть лист с указанием товарной позиции размещенной на столе досмотра **</t>
  </si>
  <si>
    <t>Поиск заявки</t>
  </si>
  <si>
    <t>1.3</t>
  </si>
  <si>
    <r>
      <t xml:space="preserve">Расположен прибор на столе с единицей товара </t>
    </r>
    <r>
      <rPr>
        <sz val="11"/>
        <color rgb="FFFF0000"/>
        <rFont val="Calibri"/>
        <family val="2"/>
        <charset val="204"/>
        <scheme val="minor"/>
      </rPr>
      <t>**</t>
    </r>
  </si>
  <si>
    <t>Есть фото замера ВПТ</t>
  </si>
  <si>
    <t>__TABLE1_START__</t>
  </si>
  <si>
    <t>__TABLE1_END__</t>
  </si>
  <si>
    <t>__TABLE2_START__</t>
  </si>
  <si>
    <t>__TABLE2_END__</t>
  </si>
  <si>
    <t>Метка</t>
  </si>
  <si>
    <t>Назначение</t>
  </si>
  <si>
    <t>Начало Таблицы 1</t>
  </si>
  <si>
    <t>Конец Таблицы 1</t>
  </si>
  <si>
    <t>Начало Таблицы 2</t>
  </si>
  <si>
    <t>Конец Таблицы 2</t>
  </si>
  <si>
    <t>v.05/01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</si>
</sst>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0;[Red]0"/>
    <numFmt numFmtId="166" formatCode="[$-F400]h:mm:ss\ AM/PM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rgb="FF2F5496"/>
      <name val="Calibri Light"/>
      <family val="2"/>
      <charset val="204"/>
    </font>
    <font>
      <sz val="10"/>
      <color theme="9" tint="-0.499984740745262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sz val="11"/>
      <color theme="5" tint="-0.249977111117893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1"/>
      <color theme="5" tint="-0.499984740745262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1"/>
      <color theme="2" tint="-0.249977111117893"/>
      <name val="Calibri"/>
      <family val="2"/>
      <charset val="204"/>
      <scheme val="minor"/>
    </font>
    <font>
      <b/>
      <i/>
      <sz val="14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0" tint="-0.249977111117893"/>
      <name val="Calibri"/>
      <family val="2"/>
      <charset val="204"/>
      <scheme val="minor"/>
    </font>
    <font>
      <i/>
      <sz val="8"/>
      <color rgb="FF808080"/>
      <name val="Calibri"/>
      <family val="2"/>
      <charset val="204"/>
    </font>
    <font>
      <b/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9EAD3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9" xfId="0" applyBorder="1"/>
    <xf numFmtId="0" fontId="0" fillId="0" borderId="6" xfId="0" applyBorder="1"/>
    <xf numFmtId="20" fontId="0" fillId="0" borderId="0" xfId="0" applyNumberFormat="1" applyAlignment="1">
      <alignment horizontal="center"/>
    </xf>
    <xf numFmtId="0" fontId="7" fillId="0" borderId="0" xfId="0" applyFont="1" applyAlignment="1">
      <alignment horizontal="center" wrapText="1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 wrapText="1"/>
    </xf>
    <xf numFmtId="9" fontId="0" fillId="0" borderId="0" xfId="1" applyFont="1"/>
    <xf numFmtId="0" fontId="9" fillId="0" borderId="22" xfId="0" applyFont="1" applyBorder="1" applyAlignment="1">
      <alignment vertical="center" wrapText="1"/>
    </xf>
    <xf numFmtId="0" fontId="3" fillId="0" borderId="22" xfId="0" applyFont="1" applyBorder="1" applyAlignment="1">
      <alignment horizontal="center" vertical="center"/>
    </xf>
    <xf numFmtId="0" fontId="9" fillId="0" borderId="24" xfId="0" applyFont="1" applyBorder="1" applyAlignment="1">
      <alignment vertical="center" wrapText="1"/>
    </xf>
    <xf numFmtId="0" fontId="0" fillId="0" borderId="0" xfId="0" applyAlignment="1">
      <alignment wrapText="1"/>
    </xf>
    <xf numFmtId="0" fontId="5" fillId="0" borderId="24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9" fillId="0" borderId="25" xfId="0" applyFont="1" applyBorder="1" applyAlignment="1">
      <alignment vertical="center" wrapText="1"/>
    </xf>
    <xf numFmtId="0" fontId="10" fillId="0" borderId="22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0" fillId="0" borderId="22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26" xfId="0" applyBorder="1"/>
    <xf numFmtId="0" fontId="0" fillId="0" borderId="27" xfId="0" applyBorder="1"/>
    <xf numFmtId="0" fontId="0" fillId="0" borderId="2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/>
    <xf numFmtId="0" fontId="12" fillId="0" borderId="0" xfId="0" applyFont="1"/>
    <xf numFmtId="0" fontId="3" fillId="0" borderId="18" xfId="0" applyFont="1" applyBorder="1"/>
    <xf numFmtId="0" fontId="0" fillId="0" borderId="19" xfId="0" applyBorder="1"/>
    <xf numFmtId="0" fontId="0" fillId="0" borderId="19" xfId="0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8" xfId="0" applyBorder="1"/>
    <xf numFmtId="0" fontId="0" fillId="0" borderId="20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" fontId="3" fillId="4" borderId="12" xfId="0" applyNumberFormat="1" applyFont="1" applyFill="1" applyBorder="1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 vertical="center"/>
    </xf>
    <xf numFmtId="2" fontId="0" fillId="3" borderId="6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20" fontId="0" fillId="0" borderId="0" xfId="0" applyNumberFormat="1"/>
    <xf numFmtId="20" fontId="0" fillId="5" borderId="20" xfId="0" applyNumberForma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49" fontId="0" fillId="0" borderId="0" xfId="0" applyNumberFormat="1" applyAlignment="1">
      <alignment horizontal="center" wrapText="1"/>
    </xf>
    <xf numFmtId="0" fontId="17" fillId="0" borderId="0" xfId="0" applyFont="1"/>
    <xf numFmtId="0" fontId="0" fillId="0" borderId="2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49" fontId="0" fillId="0" borderId="9" xfId="0" applyNumberFormat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9" fillId="0" borderId="36" xfId="0" applyFont="1" applyBorder="1" applyAlignment="1">
      <alignment vertical="center" wrapText="1"/>
    </xf>
    <xf numFmtId="0" fontId="10" fillId="0" borderId="25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6" fontId="0" fillId="5" borderId="20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166" fontId="3" fillId="0" borderId="13" xfId="0" applyNumberFormat="1" applyFont="1" applyBorder="1" applyAlignment="1">
      <alignment horizontal="center" vertical="center"/>
    </xf>
    <xf numFmtId="166" fontId="3" fillId="0" borderId="14" xfId="0" applyNumberFormat="1" applyFon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6" fontId="3" fillId="0" borderId="9" xfId="0" applyNumberFormat="1" applyFon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 wrapText="1"/>
    </xf>
    <xf numFmtId="3" fontId="0" fillId="0" borderId="8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4" fontId="0" fillId="3" borderId="8" xfId="0" applyNumberFormat="1" applyFill="1" applyBorder="1" applyAlignment="1">
      <alignment horizontal="center" vertical="center"/>
    </xf>
    <xf numFmtId="4" fontId="0" fillId="4" borderId="8" xfId="1" applyNumberFormat="1" applyFont="1" applyFill="1" applyBorder="1" applyAlignment="1">
      <alignment horizontal="center" vertical="center"/>
    </xf>
    <xf numFmtId="0" fontId="0" fillId="0" borderId="8" xfId="1" applyNumberFormat="1" applyFont="1" applyFill="1" applyBorder="1" applyAlignment="1">
      <alignment horizontal="center" vertical="center"/>
    </xf>
    <xf numFmtId="4" fontId="0" fillId="5" borderId="8" xfId="1" applyNumberFormat="1" applyFont="1" applyFill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 vertical="center"/>
    </xf>
    <xf numFmtId="166" fontId="3" fillId="0" borderId="11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26" xfId="0" applyFont="1" applyBorder="1" applyAlignment="1">
      <alignment horizontal="center" vertical="center"/>
    </xf>
    <xf numFmtId="4" fontId="0" fillId="3" borderId="41" xfId="0" applyNumberFormat="1" applyFill="1" applyBorder="1" applyAlignment="1">
      <alignment horizontal="center" vertical="center"/>
    </xf>
    <xf numFmtId="4" fontId="0" fillId="4" borderId="41" xfId="1" applyNumberFormat="1" applyFont="1" applyFill="1" applyBorder="1" applyAlignment="1">
      <alignment horizontal="center" vertical="center"/>
    </xf>
    <xf numFmtId="0" fontId="0" fillId="0" borderId="41" xfId="1" applyNumberFormat="1" applyFont="1" applyFill="1" applyBorder="1" applyAlignment="1">
      <alignment horizontal="center" vertical="center"/>
    </xf>
    <xf numFmtId="4" fontId="0" fillId="5" borderId="41" xfId="1" applyNumberFormat="1" applyFont="1" applyFill="1" applyBorder="1" applyAlignment="1">
      <alignment horizontal="center" vertical="center"/>
    </xf>
    <xf numFmtId="0" fontId="0" fillId="0" borderId="41" xfId="0" applyNumberFormat="1" applyBorder="1" applyAlignment="1">
      <alignment horizontal="center" vertical="center"/>
    </xf>
    <xf numFmtId="164" fontId="3" fillId="0" borderId="9" xfId="0" applyNumberFormat="1" applyFont="1" applyFill="1" applyBorder="1" applyAlignment="1">
      <alignment horizontal="center" vertical="center" wrapText="1"/>
    </xf>
    <xf numFmtId="0" fontId="0" fillId="0" borderId="44" xfId="0" applyBorder="1"/>
    <xf numFmtId="0" fontId="9" fillId="0" borderId="46" xfId="0" applyFont="1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22" xfId="0" applyBorder="1"/>
    <xf numFmtId="164" fontId="8" fillId="3" borderId="9" xfId="0" applyNumberFormat="1" applyFont="1" applyFill="1" applyBorder="1" applyAlignment="1">
      <alignment horizontal="center" vertical="center" wrapText="1"/>
    </xf>
    <xf numFmtId="164" fontId="8" fillId="0" borderId="9" xfId="0" applyNumberFormat="1" applyFont="1" applyBorder="1" applyAlignment="1">
      <alignment horizontal="center" vertical="center" wrapText="1"/>
    </xf>
    <xf numFmtId="164" fontId="0" fillId="0" borderId="0" xfId="0" applyNumberFormat="1" applyBorder="1"/>
    <xf numFmtId="164" fontId="3" fillId="0" borderId="9" xfId="0" applyNumberFormat="1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wrapText="1"/>
    </xf>
    <xf numFmtId="164" fontId="0" fillId="0" borderId="0" xfId="0" applyNumberFormat="1" applyBorder="1" applyAlignment="1">
      <alignment wrapText="1"/>
    </xf>
    <xf numFmtId="164" fontId="8" fillId="3" borderId="6" xfId="0" applyNumberFormat="1" applyFont="1" applyFill="1" applyBorder="1" applyAlignment="1">
      <alignment horizontal="center" vertical="center" wrapText="1"/>
    </xf>
    <xf numFmtId="164" fontId="3" fillId="0" borderId="41" xfId="0" applyNumberFormat="1" applyFont="1" applyBorder="1" applyAlignment="1">
      <alignment horizontal="center"/>
    </xf>
    <xf numFmtId="164" fontId="3" fillId="0" borderId="27" xfId="0" applyNumberFormat="1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164" fontId="13" fillId="0" borderId="0" xfId="0" applyNumberFormat="1" applyFont="1" applyAlignment="1">
      <alignment horizontal="center"/>
    </xf>
    <xf numFmtId="0" fontId="18" fillId="6" borderId="0" xfId="0" applyFont="1" applyFill="1"/>
    <xf numFmtId="49" fontId="18" fillId="6" borderId="0" xfId="0" applyNumberFormat="1" applyFont="1" applyFill="1"/>
    <xf numFmtId="0" fontId="19" fillId="0" borderId="0" xfId="0" applyFont="1"/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23" xfId="0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32" xfId="0" applyFont="1" applyBorder="1" applyAlignment="1">
      <alignment horizontal="left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73"/>
  <sheetViews>
    <sheetView showGridLines="0" tabSelected="1" zoomScale="85" zoomScaleNormal="85" workbookViewId="0">
      <pane xSplit="9" ySplit="4" topLeftCell="J5" activePane="bottomRight" state="frozen"/>
      <selection activeCell="L5" sqref="L5"/>
      <selection pane="topRight" activeCell="L5" sqref="L5"/>
      <selection pane="bottomLeft" activeCell="L5" sqref="L5"/>
      <selection pane="bottomRight" activeCell="N5" sqref="N5"/>
    </sheetView>
  </sheetViews>
  <sheetFormatPr defaultRowHeight="15" x14ac:dyDescent="0.25"/>
  <cols>
    <col min="1" max="1" width="5.140625" customWidth="1"/>
    <col min="2" max="2" width="6.85546875" customWidth="1"/>
    <col min="3" max="6" width="11.85546875" customWidth="1"/>
    <col min="7" max="7" width="13.28515625" style="2" customWidth="1"/>
    <col min="8" max="8" width="11.85546875" style="3" customWidth="1"/>
    <col min="9" max="27" width="11.85546875" customWidth="1"/>
    <col min="45" max="49" width="9" style="2"/>
  </cols>
  <sheetData>
    <row r="1" spans="1:52" ht="19.5" thickBot="1" x14ac:dyDescent="0.3">
      <c r="A1" s="69" t="s">
        <v>160</v>
      </c>
      <c r="B1" s="196" t="s">
        <v>35</v>
      </c>
      <c r="C1" s="196"/>
      <c r="D1" s="196"/>
      <c r="E1" s="196"/>
      <c r="F1" s="196"/>
      <c r="G1" s="196"/>
      <c r="H1" s="196"/>
      <c r="I1" s="2"/>
      <c r="K1" s="4"/>
      <c r="L1" s="4"/>
      <c r="M1" s="4"/>
      <c r="N1" s="4"/>
      <c r="O1" s="4"/>
      <c r="P1" s="4"/>
      <c r="Q1" s="4"/>
      <c r="R1" s="4"/>
      <c r="AD1" s="2" t="s">
        <v>84</v>
      </c>
    </row>
    <row r="2" spans="1:52" ht="45.75" thickBot="1" x14ac:dyDescent="0.3">
      <c r="A2" s="156" t="s">
        <v>150</v>
      </c>
      <c r="B2" s="198" t="s">
        <v>83</v>
      </c>
      <c r="C2" s="199"/>
      <c r="D2" s="55"/>
      <c r="G2"/>
      <c r="H2" s="2"/>
      <c r="I2" s="2"/>
      <c r="L2" s="8"/>
      <c r="M2" s="8"/>
      <c r="T2" s="1" t="s">
        <v>36</v>
      </c>
      <c r="U2" s="1" t="s">
        <v>37</v>
      </c>
      <c r="V2" s="1" t="s">
        <v>37</v>
      </c>
      <c r="X2" s="1" t="s">
        <v>38</v>
      </c>
      <c r="AC2" s="59" t="s">
        <v>102</v>
      </c>
      <c r="AD2" s="2" t="s">
        <v>85</v>
      </c>
    </row>
    <row r="3" spans="1:52" ht="15.75" thickBot="1" x14ac:dyDescent="0.3">
      <c r="G3"/>
      <c r="H3" s="2"/>
      <c r="I3" s="2"/>
      <c r="L3" s="8"/>
      <c r="M3" s="8"/>
      <c r="T3" s="39"/>
      <c r="U3" s="39"/>
      <c r="V3" s="39"/>
      <c r="X3" s="39"/>
      <c r="AC3" s="59" t="s">
        <v>101</v>
      </c>
      <c r="AD3" s="2" t="s">
        <v>86</v>
      </c>
    </row>
    <row r="4" spans="1:52" ht="120.75" thickBot="1" x14ac:dyDescent="0.3">
      <c r="A4" s="2"/>
      <c r="B4" s="121" t="s">
        <v>39</v>
      </c>
      <c r="C4" s="122" t="s">
        <v>40</v>
      </c>
      <c r="D4" s="122" t="s">
        <v>41</v>
      </c>
      <c r="E4" s="123" t="s">
        <v>93</v>
      </c>
      <c r="F4" s="122" t="s">
        <v>20</v>
      </c>
      <c r="G4" s="122" t="s">
        <v>21</v>
      </c>
      <c r="H4" s="122" t="s">
        <v>22</v>
      </c>
      <c r="I4" s="122" t="s">
        <v>42</v>
      </c>
      <c r="J4" s="122" t="s">
        <v>43</v>
      </c>
      <c r="K4" s="122" t="s">
        <v>44</v>
      </c>
      <c r="L4" s="85" t="s">
        <v>23</v>
      </c>
      <c r="M4" s="85" t="s">
        <v>82</v>
      </c>
      <c r="N4" s="124" t="s">
        <v>24</v>
      </c>
      <c r="O4" s="125" t="s">
        <v>25</v>
      </c>
      <c r="P4" s="85" t="s">
        <v>26</v>
      </c>
      <c r="Q4" s="126" t="s">
        <v>27</v>
      </c>
      <c r="R4" s="85" t="s">
        <v>28</v>
      </c>
      <c r="S4" s="124" t="s">
        <v>29</v>
      </c>
      <c r="T4" s="125" t="s">
        <v>30</v>
      </c>
      <c r="U4" s="85" t="s">
        <v>138</v>
      </c>
      <c r="V4" s="126" t="s">
        <v>81</v>
      </c>
      <c r="W4" s="85" t="s">
        <v>31</v>
      </c>
      <c r="X4" s="85" t="s">
        <v>32</v>
      </c>
      <c r="Y4" s="228" t="s">
        <v>131</v>
      </c>
      <c r="Z4" s="228"/>
      <c r="AA4" s="85" t="s">
        <v>95</v>
      </c>
      <c r="AB4" s="228" t="s">
        <v>98</v>
      </c>
      <c r="AC4" s="228"/>
      <c r="AD4" s="127" t="s">
        <v>132</v>
      </c>
      <c r="AE4" s="127" t="s">
        <v>134</v>
      </c>
      <c r="AF4" s="127" t="s">
        <v>78</v>
      </c>
      <c r="AG4" s="127" t="s">
        <v>130</v>
      </c>
      <c r="AH4" s="127" t="s">
        <v>133</v>
      </c>
      <c r="AI4" s="128" t="s">
        <v>142</v>
      </c>
    </row>
    <row r="5" spans="1:52" ht="74.849999999999994" customHeight="1" x14ac:dyDescent="0.25">
      <c r="B5" s="104">
        <v>1</v>
      </c>
      <c r="C5" s="86"/>
      <c r="D5" s="86"/>
      <c r="E5" s="105"/>
      <c r="F5" s="86"/>
      <c r="G5" s="106"/>
      <c r="H5" s="86"/>
      <c r="I5" s="86"/>
      <c r="J5" s="86"/>
      <c r="K5" s="86"/>
      <c r="L5" s="107"/>
      <c r="M5" s="107"/>
      <c r="N5" s="108"/>
      <c r="O5" s="109"/>
      <c r="P5" s="87"/>
      <c r="Q5" s="110"/>
      <c r="R5" s="87"/>
      <c r="S5" s="111">
        <f>IFERROR(N5*100/M5,0)</f>
        <v>0</v>
      </c>
      <c r="T5" s="112">
        <f>IFERROR(O5*100/M5,0)</f>
        <v>0</v>
      </c>
      <c r="U5" s="113">
        <f>IFERROR(P5*100/M5,0)</f>
        <v>0</v>
      </c>
      <c r="V5" s="114">
        <f>IFERROR(Q5*100/M5,0)</f>
        <v>0</v>
      </c>
      <c r="W5" s="115">
        <f>IFERROR(P5*100/M5,0)</f>
        <v>0</v>
      </c>
      <c r="X5" s="87"/>
      <c r="Y5" s="229" t="str">
        <f>_xlfn.TEXTJOIN(", ",TRUE,J61:K66)</f>
        <v/>
      </c>
      <c r="Z5" s="229"/>
      <c r="AA5" s="116"/>
      <c r="AB5" s="232"/>
      <c r="AC5" s="232"/>
      <c r="AD5" s="117">
        <f>IF(AA5="да",1,0)</f>
        <v>0</v>
      </c>
      <c r="AE5" s="87">
        <f>AS51+AD5</f>
        <v>0</v>
      </c>
      <c r="AF5" s="117">
        <f>J37+AS36</f>
        <v>0</v>
      </c>
      <c r="AG5" s="118">
        <f>IF((AE5+AF5)&gt;0,1,0)</f>
        <v>0</v>
      </c>
      <c r="AH5" s="119" t="str">
        <f>K53</f>
        <v/>
      </c>
      <c r="AI5" s="120" t="str">
        <f>IF(COUNTA(C5,E5:Q5)&gt;0,$K$70-$K$54,"")</f>
        <v/>
      </c>
    </row>
    <row r="6" spans="1:52" ht="74.849999999999994" customHeight="1" x14ac:dyDescent="0.25">
      <c r="B6" s="9">
        <v>2</v>
      </c>
      <c r="C6" s="86"/>
      <c r="D6" s="86"/>
      <c r="E6" s="105"/>
      <c r="F6" s="86"/>
      <c r="G6" s="37"/>
      <c r="H6" s="159"/>
      <c r="I6" s="86"/>
      <c r="J6" s="82"/>
      <c r="K6" s="86"/>
      <c r="L6" s="72"/>
      <c r="M6" s="72"/>
      <c r="N6" s="47"/>
      <c r="O6" s="48"/>
      <c r="P6" s="5"/>
      <c r="Q6" s="49"/>
      <c r="R6" s="90"/>
      <c r="S6" s="111">
        <f t="shared" ref="S6:S9" si="0">IFERROR(N6*100/M6,0)</f>
        <v>0</v>
      </c>
      <c r="T6" s="112">
        <f t="shared" ref="T6:T9" si="1">IFERROR(O6*100/M6,0)</f>
        <v>0</v>
      </c>
      <c r="U6" s="113">
        <f t="shared" ref="U6:U9" si="2">IFERROR(P6*100/M6,0)</f>
        <v>0</v>
      </c>
      <c r="V6" s="114">
        <f t="shared" ref="V6:V9" si="3">IFERROR(Q6*100/M6,0)</f>
        <v>0</v>
      </c>
      <c r="W6" s="115">
        <f t="shared" ref="W6:W9" si="4">IFERROR(P6*100/M6,0)</f>
        <v>0</v>
      </c>
      <c r="X6" s="90"/>
      <c r="Y6" s="230" t="str">
        <f>_xlfn.TEXTJOIN(", ",TRUE,Q61:R66)</f>
        <v/>
      </c>
      <c r="Z6" s="230"/>
      <c r="AA6" s="80"/>
      <c r="AB6" s="182"/>
      <c r="AC6" s="182"/>
      <c r="AD6" s="73">
        <f t="shared" ref="AD6:AD9" si="5">IF(AA6="да",1,0)</f>
        <v>0</v>
      </c>
      <c r="AE6" s="90">
        <f>AT51+AD6</f>
        <v>0</v>
      </c>
      <c r="AF6" s="73">
        <f>Q37+AT36</f>
        <v>0</v>
      </c>
      <c r="AG6" s="100">
        <f t="shared" ref="AG6:AG9" si="6">IF((AE6+AF6)&gt;0,1,0)</f>
        <v>0</v>
      </c>
      <c r="AH6" s="101" t="str">
        <f>R53</f>
        <v/>
      </c>
      <c r="AI6" s="98" t="str">
        <f>IF(COUNTA(C6,E6:Q6)&gt;0,$K$70-$K$54,"")</f>
        <v/>
      </c>
    </row>
    <row r="7" spans="1:52" ht="74.849999999999994" customHeight="1" x14ac:dyDescent="0.25">
      <c r="B7" s="9">
        <v>3</v>
      </c>
      <c r="C7" s="86"/>
      <c r="D7" s="86"/>
      <c r="E7" s="105"/>
      <c r="F7" s="86"/>
      <c r="G7" s="37"/>
      <c r="H7" s="159"/>
      <c r="I7" s="86"/>
      <c r="J7" s="82"/>
      <c r="K7" s="86"/>
      <c r="L7" s="72"/>
      <c r="M7" s="72"/>
      <c r="N7" s="50"/>
      <c r="O7" s="48"/>
      <c r="P7" s="5"/>
      <c r="Q7" s="49"/>
      <c r="R7" s="90"/>
      <c r="S7" s="111">
        <f t="shared" si="0"/>
        <v>0</v>
      </c>
      <c r="T7" s="112">
        <f t="shared" si="1"/>
        <v>0</v>
      </c>
      <c r="U7" s="113">
        <f t="shared" si="2"/>
        <v>0</v>
      </c>
      <c r="V7" s="114">
        <f t="shared" si="3"/>
        <v>0</v>
      </c>
      <c r="W7" s="115">
        <f t="shared" si="4"/>
        <v>0</v>
      </c>
      <c r="X7" s="90"/>
      <c r="Y7" s="230" t="str">
        <f>_xlfn.TEXTJOIN(", ",TRUE,X61:Y66)</f>
        <v/>
      </c>
      <c r="Z7" s="230"/>
      <c r="AA7" s="80"/>
      <c r="AB7" s="182"/>
      <c r="AC7" s="182"/>
      <c r="AD7" s="73">
        <f t="shared" si="5"/>
        <v>0</v>
      </c>
      <c r="AE7" s="90">
        <f>AU51+AD7</f>
        <v>0</v>
      </c>
      <c r="AF7" s="73">
        <f>X37+AU36</f>
        <v>0</v>
      </c>
      <c r="AG7" s="100">
        <f t="shared" si="6"/>
        <v>0</v>
      </c>
      <c r="AH7" s="101" t="str">
        <f>Y53</f>
        <v/>
      </c>
      <c r="AI7" s="98" t="str">
        <f>IF(COUNTA(C7,E7:Q7)&gt;0,$K$70-$K$54,"")</f>
        <v/>
      </c>
    </row>
    <row r="8" spans="1:52" ht="74.849999999999994" customHeight="1" x14ac:dyDescent="0.25">
      <c r="B8" s="9">
        <v>4</v>
      </c>
      <c r="C8" s="86"/>
      <c r="D8" s="86"/>
      <c r="E8" s="105"/>
      <c r="F8" s="86"/>
      <c r="G8" s="159"/>
      <c r="H8" s="159"/>
      <c r="I8" s="86"/>
      <c r="J8" s="82"/>
      <c r="K8" s="86"/>
      <c r="L8" s="72"/>
      <c r="M8" s="72"/>
      <c r="N8" s="50"/>
      <c r="O8" s="48"/>
      <c r="P8" s="5"/>
      <c r="Q8" s="49"/>
      <c r="R8" s="90"/>
      <c r="S8" s="111">
        <f t="shared" si="0"/>
        <v>0</v>
      </c>
      <c r="T8" s="112">
        <f t="shared" si="1"/>
        <v>0</v>
      </c>
      <c r="U8" s="113">
        <f t="shared" si="2"/>
        <v>0</v>
      </c>
      <c r="V8" s="114">
        <f t="shared" si="3"/>
        <v>0</v>
      </c>
      <c r="W8" s="115">
        <f t="shared" si="4"/>
        <v>0</v>
      </c>
      <c r="X8" s="90"/>
      <c r="Y8" s="230" t="str">
        <f>_xlfn.TEXTJOIN(", ",TRUE,AE61:AF66)</f>
        <v/>
      </c>
      <c r="Z8" s="230"/>
      <c r="AA8" s="80"/>
      <c r="AB8" s="182"/>
      <c r="AC8" s="182"/>
      <c r="AD8" s="73">
        <f t="shared" si="5"/>
        <v>0</v>
      </c>
      <c r="AE8" s="90">
        <f>AV51+AD8</f>
        <v>0</v>
      </c>
      <c r="AF8" s="73">
        <f>AE37+AV36</f>
        <v>0</v>
      </c>
      <c r="AG8" s="100">
        <f t="shared" si="6"/>
        <v>0</v>
      </c>
      <c r="AH8" s="101" t="str">
        <f>AF53</f>
        <v/>
      </c>
      <c r="AI8" s="98" t="str">
        <f>IF(COUNTA(C8,E8:Q8)&gt;0,$K$70-$K$54,"")</f>
        <v/>
      </c>
    </row>
    <row r="9" spans="1:52" ht="74.849999999999994" customHeight="1" thickBot="1" x14ac:dyDescent="0.3">
      <c r="B9" s="10">
        <v>5</v>
      </c>
      <c r="C9" s="86"/>
      <c r="D9" s="86"/>
      <c r="E9" s="105"/>
      <c r="F9" s="86"/>
      <c r="G9" s="160"/>
      <c r="H9" s="160"/>
      <c r="I9" s="86"/>
      <c r="J9" s="83"/>
      <c r="K9" s="86"/>
      <c r="L9" s="74"/>
      <c r="M9" s="74"/>
      <c r="N9" s="51"/>
      <c r="O9" s="52"/>
      <c r="P9" s="6"/>
      <c r="Q9" s="53"/>
      <c r="R9" s="93"/>
      <c r="S9" s="132">
        <f t="shared" si="0"/>
        <v>0</v>
      </c>
      <c r="T9" s="133">
        <f t="shared" si="1"/>
        <v>0</v>
      </c>
      <c r="U9" s="134">
        <f t="shared" si="2"/>
        <v>0</v>
      </c>
      <c r="V9" s="135">
        <f t="shared" si="3"/>
        <v>0</v>
      </c>
      <c r="W9" s="136">
        <f t="shared" si="4"/>
        <v>0</v>
      </c>
      <c r="X9" s="93"/>
      <c r="Y9" s="231" t="str">
        <f>_xlfn.TEXTJOIN(", ",TRUE,AL61:AM66)</f>
        <v/>
      </c>
      <c r="Z9" s="231"/>
      <c r="AA9" s="81"/>
      <c r="AB9" s="184"/>
      <c r="AC9" s="184"/>
      <c r="AD9" s="75">
        <f t="shared" si="5"/>
        <v>0</v>
      </c>
      <c r="AE9" s="93">
        <f>AW51+AD9</f>
        <v>0</v>
      </c>
      <c r="AF9" s="75">
        <f>AL37+AW36</f>
        <v>0</v>
      </c>
      <c r="AG9" s="102">
        <f t="shared" si="6"/>
        <v>0</v>
      </c>
      <c r="AH9" s="103" t="str">
        <f>AM53</f>
        <v/>
      </c>
      <c r="AI9" s="99" t="str">
        <f>IF(COUNTA(C9,E9:Q9)&gt;0,$K$70-$K$54,"")</f>
        <v/>
      </c>
    </row>
    <row r="10" spans="1:52" x14ac:dyDescent="0.25">
      <c r="F10" s="11"/>
      <c r="K10" s="8"/>
    </row>
    <row r="11" spans="1:52" x14ac:dyDescent="0.25">
      <c r="A11" s="156" t="s">
        <v>151</v>
      </c>
      <c r="F11" s="11"/>
      <c r="K11" s="8"/>
      <c r="O11" s="12"/>
      <c r="AU11" s="34"/>
      <c r="AV11" s="34"/>
      <c r="AW11" s="34"/>
      <c r="AX11" s="34"/>
      <c r="AY11" s="34"/>
      <c r="AZ11" s="34"/>
    </row>
    <row r="12" spans="1:52" ht="18.75" x14ac:dyDescent="0.25">
      <c r="B12" s="56" t="s">
        <v>90</v>
      </c>
      <c r="C12" s="56"/>
      <c r="D12" s="56"/>
      <c r="E12" s="56"/>
      <c r="F12" s="56"/>
      <c r="G12" s="56"/>
      <c r="H12" s="56"/>
      <c r="K12" s="8"/>
      <c r="O12" s="12"/>
      <c r="AS12" s="34"/>
      <c r="AT12" s="34"/>
      <c r="AU12" s="34"/>
      <c r="AV12" s="34"/>
      <c r="AW12" s="34"/>
      <c r="AX12" s="34"/>
    </row>
    <row r="13" spans="1:52" ht="18.600000000000001" customHeight="1" x14ac:dyDescent="0.25">
      <c r="B13" s="56" t="s">
        <v>92</v>
      </c>
      <c r="C13" s="56"/>
      <c r="D13" s="56"/>
      <c r="E13" s="56"/>
      <c r="F13" s="56"/>
      <c r="G13" s="56"/>
      <c r="H13" s="56"/>
      <c r="K13" s="8"/>
      <c r="O13" s="12"/>
      <c r="AS13" s="34"/>
      <c r="AT13" s="34"/>
      <c r="AU13" s="34"/>
      <c r="AV13" s="34"/>
      <c r="AW13" s="34"/>
      <c r="AX13" s="34"/>
    </row>
    <row r="14" spans="1:52" ht="18.600000000000001" customHeight="1" x14ac:dyDescent="0.25">
      <c r="B14" s="56" t="s">
        <v>91</v>
      </c>
      <c r="C14" s="56"/>
      <c r="D14" s="56"/>
      <c r="E14" s="56"/>
      <c r="F14" s="56"/>
      <c r="G14" s="56"/>
      <c r="H14" s="56"/>
      <c r="K14" s="8"/>
      <c r="O14" s="12"/>
      <c r="AS14" s="34"/>
      <c r="AT14" s="34"/>
      <c r="AU14" s="34"/>
      <c r="AV14" s="34"/>
      <c r="AW14" s="34"/>
      <c r="AX14" s="34"/>
    </row>
    <row r="15" spans="1:52" ht="18.600000000000001" customHeight="1" thickBot="1" x14ac:dyDescent="0.3">
      <c r="A15" s="156" t="s">
        <v>152</v>
      </c>
      <c r="B15" s="56" t="s">
        <v>145</v>
      </c>
      <c r="C15" s="56"/>
      <c r="D15" s="56"/>
      <c r="E15" s="56"/>
      <c r="F15" s="56"/>
      <c r="G15" s="56"/>
      <c r="H15" s="56"/>
      <c r="K15" s="8"/>
      <c r="O15" s="12"/>
      <c r="AS15" s="34"/>
      <c r="AT15" s="34"/>
      <c r="AU15" s="34"/>
      <c r="AV15" s="34"/>
      <c r="AW15" s="34"/>
      <c r="AX15" s="34"/>
    </row>
    <row r="16" spans="1:52" ht="78" customHeight="1" thickBot="1" x14ac:dyDescent="0.3">
      <c r="A16" s="162" t="s">
        <v>143</v>
      </c>
      <c r="B16" s="197"/>
      <c r="C16" s="197"/>
      <c r="D16" s="197"/>
      <c r="E16" s="197"/>
      <c r="F16" s="197"/>
      <c r="G16" s="197"/>
      <c r="H16" s="197"/>
      <c r="I16" s="2" t="s">
        <v>45</v>
      </c>
      <c r="J16" s="175">
        <f>H5</f>
        <v>0</v>
      </c>
      <c r="K16" s="176"/>
      <c r="L16" s="176"/>
      <c r="M16" s="176"/>
      <c r="N16" s="176"/>
      <c r="O16" s="176"/>
      <c r="P16" s="177"/>
      <c r="Q16" s="175">
        <f>H6</f>
        <v>0</v>
      </c>
      <c r="R16" s="176"/>
      <c r="S16" s="176"/>
      <c r="T16" s="176"/>
      <c r="U16" s="176"/>
      <c r="V16" s="176"/>
      <c r="W16" s="177"/>
      <c r="X16" s="175">
        <f>H7</f>
        <v>0</v>
      </c>
      <c r="Y16" s="176"/>
      <c r="Z16" s="176"/>
      <c r="AA16" s="176"/>
      <c r="AB16" s="176"/>
      <c r="AC16" s="176"/>
      <c r="AD16" s="177"/>
      <c r="AE16" s="175">
        <f>H8</f>
        <v>0</v>
      </c>
      <c r="AF16" s="176"/>
      <c r="AG16" s="176"/>
      <c r="AH16" s="176"/>
      <c r="AI16" s="176"/>
      <c r="AJ16" s="176"/>
      <c r="AK16" s="177"/>
      <c r="AL16" s="175">
        <f>I9</f>
        <v>0</v>
      </c>
      <c r="AM16" s="176"/>
      <c r="AN16" s="176"/>
      <c r="AO16" s="176"/>
      <c r="AP16" s="176"/>
      <c r="AQ16" s="176"/>
      <c r="AR16" s="177"/>
      <c r="AS16" s="34"/>
      <c r="AT16" s="34"/>
      <c r="AU16" s="34"/>
      <c r="AV16" s="34"/>
      <c r="AW16" s="34"/>
      <c r="AX16" s="34"/>
    </row>
    <row r="17" spans="1:52" ht="45.75" thickBot="1" x14ac:dyDescent="0.3">
      <c r="A17" s="163"/>
      <c r="B17" s="84" t="s">
        <v>46</v>
      </c>
      <c r="C17" s="203" t="s">
        <v>47</v>
      </c>
      <c r="D17" s="203"/>
      <c r="E17" s="203" t="s">
        <v>48</v>
      </c>
      <c r="F17" s="203"/>
      <c r="G17" s="203"/>
      <c r="H17" s="203"/>
      <c r="I17" s="203"/>
      <c r="J17" s="42" t="s">
        <v>49</v>
      </c>
      <c r="K17" s="43" t="s">
        <v>50</v>
      </c>
      <c r="L17" s="178" t="s">
        <v>98</v>
      </c>
      <c r="M17" s="178"/>
      <c r="N17" s="178"/>
      <c r="O17" s="178"/>
      <c r="P17" s="179"/>
      <c r="Q17" s="42" t="s">
        <v>49</v>
      </c>
      <c r="R17" s="43" t="s">
        <v>50</v>
      </c>
      <c r="S17" s="178" t="s">
        <v>98</v>
      </c>
      <c r="T17" s="178"/>
      <c r="U17" s="178"/>
      <c r="V17" s="178"/>
      <c r="W17" s="179"/>
      <c r="X17" s="42" t="s">
        <v>49</v>
      </c>
      <c r="Y17" s="43" t="s">
        <v>50</v>
      </c>
      <c r="Z17" s="178" t="s">
        <v>98</v>
      </c>
      <c r="AA17" s="178"/>
      <c r="AB17" s="178"/>
      <c r="AC17" s="178"/>
      <c r="AD17" s="179"/>
      <c r="AE17" s="42" t="s">
        <v>49</v>
      </c>
      <c r="AF17" s="43" t="s">
        <v>50</v>
      </c>
      <c r="AG17" s="178" t="s">
        <v>98</v>
      </c>
      <c r="AH17" s="178"/>
      <c r="AI17" s="178"/>
      <c r="AJ17" s="178"/>
      <c r="AK17" s="179"/>
      <c r="AL17" s="42" t="s">
        <v>49</v>
      </c>
      <c r="AM17" s="43" t="s">
        <v>50</v>
      </c>
      <c r="AN17" s="178" t="s">
        <v>98</v>
      </c>
      <c r="AO17" s="178"/>
      <c r="AP17" s="178"/>
      <c r="AQ17" s="178"/>
      <c r="AR17" s="179"/>
      <c r="AS17" s="34"/>
      <c r="AT17" s="34"/>
      <c r="AU17" s="34"/>
      <c r="AV17" s="34"/>
      <c r="AW17" s="34"/>
      <c r="AX17" s="227"/>
      <c r="AY17" s="227"/>
      <c r="AZ17" s="227"/>
    </row>
    <row r="18" spans="1:52" s="16" customFormat="1" ht="14.25" customHeight="1" x14ac:dyDescent="0.25">
      <c r="A18" s="68" t="s">
        <v>103</v>
      </c>
      <c r="B18" s="15" t="s">
        <v>0</v>
      </c>
      <c r="C18" s="170" t="s">
        <v>2</v>
      </c>
      <c r="D18" s="170"/>
      <c r="E18" s="165" t="s">
        <v>149</v>
      </c>
      <c r="F18" s="165"/>
      <c r="G18" s="165"/>
      <c r="H18" s="165"/>
      <c r="I18" s="166"/>
      <c r="J18" s="58"/>
      <c r="K18" s="145"/>
      <c r="L18" s="165"/>
      <c r="M18" s="165"/>
      <c r="N18" s="165"/>
      <c r="O18" s="165"/>
      <c r="P18" s="169"/>
      <c r="Q18" s="58"/>
      <c r="R18" s="145"/>
      <c r="S18" s="165"/>
      <c r="T18" s="165"/>
      <c r="U18" s="165"/>
      <c r="V18" s="165"/>
      <c r="W18" s="169"/>
      <c r="X18" s="58"/>
      <c r="Y18" s="145"/>
      <c r="Z18" s="165"/>
      <c r="AA18" s="165"/>
      <c r="AB18" s="165"/>
      <c r="AC18" s="165"/>
      <c r="AD18" s="169"/>
      <c r="AE18" s="58"/>
      <c r="AF18" s="145"/>
      <c r="AG18" s="165"/>
      <c r="AH18" s="165"/>
      <c r="AI18" s="165"/>
      <c r="AJ18" s="165"/>
      <c r="AK18" s="169"/>
      <c r="AL18" s="58"/>
      <c r="AM18" s="145"/>
      <c r="AN18" s="165"/>
      <c r="AO18" s="165"/>
      <c r="AP18" s="165"/>
      <c r="AQ18" s="165"/>
      <c r="AR18" s="169"/>
      <c r="AS18" s="33">
        <f>IF(J18="нет",1,0)</f>
        <v>0</v>
      </c>
      <c r="AT18" s="33">
        <f>IF(Q18="нет",1,0)</f>
        <v>0</v>
      </c>
      <c r="AU18" s="33">
        <f>IF(X18="нет",1,0)</f>
        <v>0</v>
      </c>
      <c r="AV18" s="33">
        <f>IF(AE18="нет",1,0)</f>
        <v>0</v>
      </c>
      <c r="AW18" s="33">
        <f>IF(AL18="нет",1,0)</f>
        <v>0</v>
      </c>
      <c r="AX18" s="66"/>
    </row>
    <row r="19" spans="1:52" s="16" customFormat="1" ht="28.5" customHeight="1" x14ac:dyDescent="0.25">
      <c r="A19" s="68"/>
      <c r="B19" s="17" t="s">
        <v>3</v>
      </c>
      <c r="C19" s="200" t="s">
        <v>4</v>
      </c>
      <c r="D19" s="200"/>
      <c r="E19" s="201" t="s">
        <v>53</v>
      </c>
      <c r="F19" s="201"/>
      <c r="G19" s="201"/>
      <c r="H19" s="201"/>
      <c r="I19" s="202"/>
      <c r="J19" s="58"/>
      <c r="K19" s="146"/>
      <c r="L19" s="204"/>
      <c r="M19" s="205"/>
      <c r="N19" s="205"/>
      <c r="O19" s="205"/>
      <c r="P19" s="206"/>
      <c r="Q19" s="58"/>
      <c r="R19" s="146"/>
      <c r="S19" s="204"/>
      <c r="T19" s="205"/>
      <c r="U19" s="205"/>
      <c r="V19" s="205"/>
      <c r="W19" s="206"/>
      <c r="X19" s="58"/>
      <c r="Y19" s="146"/>
      <c r="Z19" s="204"/>
      <c r="AA19" s="205"/>
      <c r="AB19" s="205"/>
      <c r="AC19" s="205"/>
      <c r="AD19" s="206"/>
      <c r="AE19" s="58"/>
      <c r="AF19" s="146"/>
      <c r="AG19" s="204"/>
      <c r="AH19" s="205"/>
      <c r="AI19" s="205"/>
      <c r="AJ19" s="205"/>
      <c r="AK19" s="206"/>
      <c r="AL19" s="58"/>
      <c r="AM19" s="146"/>
      <c r="AN19" s="204"/>
      <c r="AO19" s="205"/>
      <c r="AP19" s="205"/>
      <c r="AQ19" s="205"/>
      <c r="AR19" s="206"/>
      <c r="AS19" s="33">
        <f>IF(J19="нет",1,0)</f>
        <v>0</v>
      </c>
      <c r="AT19" s="33">
        <f>IF(Q19="нет",1,0)</f>
        <v>0</v>
      </c>
      <c r="AU19" s="33">
        <f>IF(X19="нет",1,0)</f>
        <v>0</v>
      </c>
      <c r="AV19" s="33">
        <f>IF(AE19="нет",1,0)</f>
        <v>0</v>
      </c>
      <c r="AW19" s="33">
        <f>IF(AL19="нет",1,0)</f>
        <v>0</v>
      </c>
      <c r="AX19" s="57"/>
    </row>
    <row r="20" spans="1:52" s="16" customFormat="1" ht="8.85" customHeight="1" x14ac:dyDescent="0.25">
      <c r="A20" s="68"/>
      <c r="B20" s="18"/>
      <c r="C20" s="67"/>
      <c r="D20"/>
      <c r="E20" s="186"/>
      <c r="F20" s="212"/>
      <c r="G20" s="212"/>
      <c r="H20" s="212"/>
      <c r="I20" s="212"/>
      <c r="J20" s="144"/>
      <c r="K20" s="146"/>
      <c r="L20" s="204"/>
      <c r="M20" s="205"/>
      <c r="N20" s="205"/>
      <c r="O20" s="205"/>
      <c r="P20" s="206"/>
      <c r="Q20" s="58"/>
      <c r="R20" s="146"/>
      <c r="S20" s="204"/>
      <c r="T20" s="205"/>
      <c r="U20" s="205"/>
      <c r="V20" s="205"/>
      <c r="W20" s="206"/>
      <c r="X20" s="58"/>
      <c r="Y20" s="146"/>
      <c r="Z20" s="204"/>
      <c r="AA20" s="205"/>
      <c r="AB20" s="205"/>
      <c r="AC20" s="205"/>
      <c r="AD20" s="206"/>
      <c r="AE20" s="58"/>
      <c r="AF20" s="146"/>
      <c r="AG20" s="204"/>
      <c r="AH20" s="205"/>
      <c r="AI20" s="205"/>
      <c r="AJ20" s="205"/>
      <c r="AK20" s="206"/>
      <c r="AL20" s="58"/>
      <c r="AM20" s="146"/>
      <c r="AN20" s="204"/>
      <c r="AO20" s="205"/>
      <c r="AP20" s="205"/>
      <c r="AQ20" s="205"/>
      <c r="AR20" s="206"/>
      <c r="AS20" s="33">
        <f>IF(J20="нет",1,0)</f>
        <v>0</v>
      </c>
      <c r="AT20" s="33">
        <f>IF(Q20="нет",1,0)</f>
        <v>0</v>
      </c>
      <c r="AU20" s="33">
        <f>IF(X20="нет",1,0)</f>
        <v>0</v>
      </c>
      <c r="AV20" s="33">
        <f>IF(AE20="нет",1,0)</f>
        <v>0</v>
      </c>
      <c r="AW20" s="33">
        <f>IF(AL20="нет",1,0)</f>
        <v>0</v>
      </c>
      <c r="AX20" s="57"/>
    </row>
    <row r="21" spans="1:52" x14ac:dyDescent="0.25">
      <c r="A21" s="142" t="s">
        <v>104</v>
      </c>
      <c r="B21" s="13" t="s">
        <v>1</v>
      </c>
      <c r="C21" s="45" t="s">
        <v>146</v>
      </c>
      <c r="D21" s="46"/>
      <c r="E21" s="172" t="s">
        <v>51</v>
      </c>
      <c r="F21" s="172"/>
      <c r="G21" s="172"/>
      <c r="H21" s="172"/>
      <c r="I21" s="173"/>
      <c r="J21" s="141"/>
      <c r="K21" s="146"/>
      <c r="L21" s="204"/>
      <c r="M21" s="205"/>
      <c r="N21" s="205"/>
      <c r="O21" s="205"/>
      <c r="P21" s="206"/>
      <c r="Q21" s="62"/>
      <c r="R21" s="146"/>
      <c r="S21" s="204"/>
      <c r="T21" s="205"/>
      <c r="U21" s="205"/>
      <c r="V21" s="205"/>
      <c r="W21" s="206"/>
      <c r="X21" s="62"/>
      <c r="Y21" s="146"/>
      <c r="Z21" s="204"/>
      <c r="AA21" s="205"/>
      <c r="AB21" s="205"/>
      <c r="AC21" s="205"/>
      <c r="AD21" s="206"/>
      <c r="AE21" s="62"/>
      <c r="AF21" s="146"/>
      <c r="AG21" s="204"/>
      <c r="AH21" s="205"/>
      <c r="AI21" s="205"/>
      <c r="AJ21" s="205"/>
      <c r="AK21" s="206"/>
      <c r="AL21" s="62"/>
      <c r="AM21" s="146"/>
      <c r="AN21" s="204"/>
      <c r="AO21" s="205"/>
      <c r="AP21" s="205"/>
      <c r="AQ21" s="205"/>
      <c r="AR21" s="206"/>
      <c r="AS21" s="33">
        <f>IF(J21="нет",1,0)</f>
        <v>0</v>
      </c>
      <c r="AT21" s="33">
        <f>IF(Q21="нет",1,0)</f>
        <v>0</v>
      </c>
      <c r="AU21" s="33">
        <f>IF(X21="нет",1,0)</f>
        <v>0</v>
      </c>
      <c r="AV21" s="33">
        <f>IF(AE21="нет",1,0)</f>
        <v>0</v>
      </c>
      <c r="AW21" s="33">
        <f>IF(AL21="нет",1,0)</f>
        <v>0</v>
      </c>
      <c r="AX21" s="66"/>
    </row>
    <row r="22" spans="1:52" x14ac:dyDescent="0.25">
      <c r="A22" s="142" t="s">
        <v>105</v>
      </c>
      <c r="B22" s="13"/>
      <c r="C22" s="45"/>
      <c r="D22" s="46"/>
      <c r="E22" s="213" t="s">
        <v>52</v>
      </c>
      <c r="F22" s="214"/>
      <c r="G22" s="214"/>
      <c r="H22" s="214"/>
      <c r="I22" s="214"/>
      <c r="J22" s="141"/>
      <c r="K22" s="147"/>
      <c r="L22" s="204"/>
      <c r="M22" s="205"/>
      <c r="N22" s="205"/>
      <c r="O22" s="205"/>
      <c r="P22" s="206"/>
      <c r="Q22" s="62"/>
      <c r="R22" s="147"/>
      <c r="S22" s="204"/>
      <c r="T22" s="205"/>
      <c r="U22" s="205"/>
      <c r="V22" s="205"/>
      <c r="W22" s="206"/>
      <c r="X22" s="62"/>
      <c r="Y22" s="147"/>
      <c r="Z22" s="204"/>
      <c r="AA22" s="205"/>
      <c r="AB22" s="205"/>
      <c r="AC22" s="205"/>
      <c r="AD22" s="206"/>
      <c r="AE22" s="62"/>
      <c r="AF22" s="147"/>
      <c r="AG22" s="204"/>
      <c r="AH22" s="205"/>
      <c r="AI22" s="205"/>
      <c r="AJ22" s="205"/>
      <c r="AK22" s="206"/>
      <c r="AL22" s="62"/>
      <c r="AM22" s="147"/>
      <c r="AN22" s="204"/>
      <c r="AO22" s="205"/>
      <c r="AP22" s="205"/>
      <c r="AQ22" s="205"/>
      <c r="AR22" s="206"/>
      <c r="AS22" s="33">
        <f t="shared" ref="AS22:AS47" si="7">IF(J22="нет",1,0)</f>
        <v>0</v>
      </c>
      <c r="AT22" s="33">
        <f t="shared" ref="AT22:AT47" si="8">IF(Q22="нет",1,0)</f>
        <v>0</v>
      </c>
      <c r="AU22" s="33">
        <f t="shared" ref="AU22:AU48" si="9">IF(X22="нет",1,0)</f>
        <v>0</v>
      </c>
      <c r="AV22" s="33">
        <f t="shared" ref="AV22:AV48" si="10">IF(AE22="нет",1,0)</f>
        <v>0</v>
      </c>
      <c r="AW22" s="33">
        <f t="shared" ref="AW22:AW48" si="11">IF(AL22="нет",1,0)</f>
        <v>0</v>
      </c>
      <c r="AX22" s="66"/>
    </row>
    <row r="23" spans="1:52" x14ac:dyDescent="0.25">
      <c r="A23" s="142" t="s">
        <v>147</v>
      </c>
      <c r="B23" s="14"/>
      <c r="C23" s="46"/>
      <c r="D23" s="46"/>
      <c r="E23" s="204"/>
      <c r="F23" s="205"/>
      <c r="G23" s="205"/>
      <c r="H23" s="205"/>
      <c r="I23" s="205"/>
      <c r="J23" s="58"/>
      <c r="K23" s="145"/>
      <c r="L23" s="204"/>
      <c r="M23" s="205"/>
      <c r="N23" s="205"/>
      <c r="O23" s="205"/>
      <c r="P23" s="206"/>
      <c r="Q23" s="58"/>
      <c r="R23" s="145"/>
      <c r="S23" s="204"/>
      <c r="T23" s="205"/>
      <c r="U23" s="205"/>
      <c r="V23" s="205"/>
      <c r="W23" s="206"/>
      <c r="X23" s="58"/>
      <c r="Y23" s="145"/>
      <c r="Z23" s="204"/>
      <c r="AA23" s="205"/>
      <c r="AB23" s="205"/>
      <c r="AC23" s="205"/>
      <c r="AD23" s="206"/>
      <c r="AE23" s="58"/>
      <c r="AF23" s="145"/>
      <c r="AG23" s="204"/>
      <c r="AH23" s="205"/>
      <c r="AI23" s="205"/>
      <c r="AJ23" s="205"/>
      <c r="AK23" s="206"/>
      <c r="AL23" s="58"/>
      <c r="AM23" s="145"/>
      <c r="AN23" s="204"/>
      <c r="AO23" s="205"/>
      <c r="AP23" s="205"/>
      <c r="AQ23" s="205"/>
      <c r="AR23" s="206"/>
      <c r="AS23" s="33">
        <f t="shared" si="7"/>
        <v>0</v>
      </c>
      <c r="AT23" s="33">
        <f t="shared" si="8"/>
        <v>0</v>
      </c>
      <c r="AU23" s="33">
        <f t="shared" si="9"/>
        <v>0</v>
      </c>
      <c r="AV23" s="33">
        <f t="shared" si="10"/>
        <v>0</v>
      </c>
      <c r="AW23" s="33">
        <f t="shared" si="11"/>
        <v>0</v>
      </c>
      <c r="AX23" s="66"/>
    </row>
    <row r="24" spans="1:52" s="16" customFormat="1" ht="28.5" customHeight="1" x14ac:dyDescent="0.25">
      <c r="A24" s="68" t="s">
        <v>106</v>
      </c>
      <c r="B24" s="15" t="s">
        <v>5</v>
      </c>
      <c r="C24" s="170" t="s">
        <v>6</v>
      </c>
      <c r="D24" s="170"/>
      <c r="E24" s="165" t="s">
        <v>54</v>
      </c>
      <c r="F24" s="165"/>
      <c r="G24" s="165"/>
      <c r="H24" s="165"/>
      <c r="I24" s="166"/>
      <c r="J24" s="58"/>
      <c r="K24" s="148"/>
      <c r="L24" s="165"/>
      <c r="M24" s="165"/>
      <c r="N24" s="165"/>
      <c r="O24" s="165"/>
      <c r="P24" s="169"/>
      <c r="Q24" s="58"/>
      <c r="R24" s="148"/>
      <c r="S24" s="165"/>
      <c r="T24" s="165"/>
      <c r="U24" s="165"/>
      <c r="V24" s="165"/>
      <c r="W24" s="169"/>
      <c r="X24" s="58"/>
      <c r="Y24" s="148"/>
      <c r="Z24" s="165"/>
      <c r="AA24" s="165"/>
      <c r="AB24" s="165"/>
      <c r="AC24" s="165"/>
      <c r="AD24" s="169"/>
      <c r="AE24" s="58"/>
      <c r="AF24" s="148"/>
      <c r="AG24" s="165"/>
      <c r="AH24" s="165"/>
      <c r="AI24" s="165"/>
      <c r="AJ24" s="165"/>
      <c r="AK24" s="169"/>
      <c r="AL24" s="58"/>
      <c r="AM24" s="148"/>
      <c r="AN24" s="165"/>
      <c r="AO24" s="165"/>
      <c r="AP24" s="165"/>
      <c r="AQ24" s="165"/>
      <c r="AR24" s="169"/>
      <c r="AS24" s="33">
        <f t="shared" si="7"/>
        <v>0</v>
      </c>
      <c r="AT24" s="33">
        <f t="shared" si="8"/>
        <v>0</v>
      </c>
      <c r="AU24" s="33">
        <f t="shared" si="9"/>
        <v>0</v>
      </c>
      <c r="AV24" s="33">
        <f t="shared" si="10"/>
        <v>0</v>
      </c>
      <c r="AW24" s="33">
        <f t="shared" si="11"/>
        <v>0</v>
      </c>
      <c r="AX24" s="57"/>
    </row>
    <row r="25" spans="1:52" s="16" customFormat="1" ht="14.25" customHeight="1" x14ac:dyDescent="0.25">
      <c r="A25" s="68" t="s">
        <v>107</v>
      </c>
      <c r="B25" s="19"/>
      <c r="C25" s="164"/>
      <c r="D25" s="164"/>
      <c r="E25" s="165" t="s">
        <v>55</v>
      </c>
      <c r="F25" s="165"/>
      <c r="G25" s="165"/>
      <c r="H25" s="165"/>
      <c r="I25" s="166"/>
      <c r="J25" s="58"/>
      <c r="K25" s="145"/>
      <c r="L25" s="165"/>
      <c r="M25" s="165"/>
      <c r="N25" s="165"/>
      <c r="O25" s="165"/>
      <c r="P25" s="169"/>
      <c r="Q25" s="58"/>
      <c r="R25" s="145"/>
      <c r="S25" s="165"/>
      <c r="T25" s="165"/>
      <c r="U25" s="165"/>
      <c r="V25" s="165"/>
      <c r="W25" s="169"/>
      <c r="X25" s="58"/>
      <c r="Y25" s="145"/>
      <c r="Z25" s="165"/>
      <c r="AA25" s="165"/>
      <c r="AB25" s="165"/>
      <c r="AC25" s="165"/>
      <c r="AD25" s="169"/>
      <c r="AE25" s="58"/>
      <c r="AF25" s="145"/>
      <c r="AG25" s="165"/>
      <c r="AH25" s="165"/>
      <c r="AI25" s="165"/>
      <c r="AJ25" s="165"/>
      <c r="AK25" s="169"/>
      <c r="AL25" s="58"/>
      <c r="AM25" s="145"/>
      <c r="AN25" s="165"/>
      <c r="AO25" s="165"/>
      <c r="AP25" s="165"/>
      <c r="AQ25" s="165"/>
      <c r="AR25" s="169"/>
      <c r="AS25" s="33">
        <f t="shared" si="7"/>
        <v>0</v>
      </c>
      <c r="AT25" s="33">
        <f t="shared" si="8"/>
        <v>0</v>
      </c>
      <c r="AU25" s="33">
        <f t="shared" si="9"/>
        <v>0</v>
      </c>
      <c r="AV25" s="33">
        <f t="shared" si="10"/>
        <v>0</v>
      </c>
      <c r="AW25" s="33">
        <f t="shared" si="11"/>
        <v>0</v>
      </c>
      <c r="AX25" s="57"/>
    </row>
    <row r="26" spans="1:52" s="16" customFormat="1" ht="29.1" customHeight="1" x14ac:dyDescent="0.25">
      <c r="A26" s="68" t="s">
        <v>108</v>
      </c>
      <c r="B26" s="15" t="s">
        <v>7</v>
      </c>
      <c r="C26" s="171" t="s">
        <v>8</v>
      </c>
      <c r="D26" s="171"/>
      <c r="E26" s="165" t="s">
        <v>56</v>
      </c>
      <c r="F26" s="165"/>
      <c r="G26" s="165"/>
      <c r="H26" s="165"/>
      <c r="I26" s="166"/>
      <c r="J26" s="58"/>
      <c r="K26" s="148"/>
      <c r="L26" s="165"/>
      <c r="M26" s="165"/>
      <c r="N26" s="165"/>
      <c r="O26" s="165"/>
      <c r="P26" s="169"/>
      <c r="Q26" s="58"/>
      <c r="R26" s="148"/>
      <c r="S26" s="165"/>
      <c r="T26" s="165"/>
      <c r="U26" s="165"/>
      <c r="V26" s="165"/>
      <c r="W26" s="169"/>
      <c r="X26" s="58"/>
      <c r="Y26" s="148"/>
      <c r="Z26" s="165"/>
      <c r="AA26" s="165"/>
      <c r="AB26" s="165"/>
      <c r="AC26" s="165"/>
      <c r="AD26" s="169"/>
      <c r="AE26" s="58"/>
      <c r="AF26" s="148"/>
      <c r="AG26" s="165"/>
      <c r="AH26" s="165"/>
      <c r="AI26" s="165"/>
      <c r="AJ26" s="165"/>
      <c r="AK26" s="169"/>
      <c r="AL26" s="58"/>
      <c r="AM26" s="148"/>
      <c r="AN26" s="165"/>
      <c r="AO26" s="165"/>
      <c r="AP26" s="165"/>
      <c r="AQ26" s="165"/>
      <c r="AR26" s="169"/>
      <c r="AS26" s="33">
        <f t="shared" si="7"/>
        <v>0</v>
      </c>
      <c r="AT26" s="33">
        <f t="shared" si="8"/>
        <v>0</v>
      </c>
      <c r="AU26" s="33">
        <f t="shared" si="9"/>
        <v>0</v>
      </c>
      <c r="AV26" s="33">
        <f t="shared" si="10"/>
        <v>0</v>
      </c>
      <c r="AW26" s="33">
        <f t="shared" si="11"/>
        <v>0</v>
      </c>
      <c r="AX26" s="57"/>
    </row>
    <row r="27" spans="1:52" s="16" customFormat="1" ht="14.25" customHeight="1" x14ac:dyDescent="0.25">
      <c r="A27" s="68" t="s">
        <v>109</v>
      </c>
      <c r="B27" s="19"/>
      <c r="C27" s="164"/>
      <c r="D27" s="164"/>
      <c r="E27" s="165" t="s">
        <v>57</v>
      </c>
      <c r="F27" s="165"/>
      <c r="G27" s="165"/>
      <c r="H27" s="165"/>
      <c r="I27" s="166"/>
      <c r="J27" s="58"/>
      <c r="K27" s="145"/>
      <c r="L27" s="165"/>
      <c r="M27" s="165"/>
      <c r="N27" s="165"/>
      <c r="O27" s="165"/>
      <c r="P27" s="169"/>
      <c r="Q27" s="58"/>
      <c r="R27" s="145"/>
      <c r="S27" s="165"/>
      <c r="T27" s="165"/>
      <c r="U27" s="165"/>
      <c r="V27" s="165"/>
      <c r="W27" s="169"/>
      <c r="X27" s="58"/>
      <c r="Y27" s="145"/>
      <c r="Z27" s="165"/>
      <c r="AA27" s="165"/>
      <c r="AB27" s="165"/>
      <c r="AC27" s="165"/>
      <c r="AD27" s="169"/>
      <c r="AE27" s="58"/>
      <c r="AF27" s="145"/>
      <c r="AG27" s="165"/>
      <c r="AH27" s="165"/>
      <c r="AI27" s="165"/>
      <c r="AJ27" s="165"/>
      <c r="AK27" s="169"/>
      <c r="AL27" s="58"/>
      <c r="AM27" s="145"/>
      <c r="AN27" s="165"/>
      <c r="AO27" s="165"/>
      <c r="AP27" s="165"/>
      <c r="AQ27" s="165"/>
      <c r="AR27" s="169"/>
      <c r="AS27" s="33">
        <f t="shared" si="7"/>
        <v>0</v>
      </c>
      <c r="AT27" s="33">
        <f t="shared" si="8"/>
        <v>0</v>
      </c>
      <c r="AU27" s="33">
        <f t="shared" si="9"/>
        <v>0</v>
      </c>
      <c r="AV27" s="33">
        <f t="shared" si="10"/>
        <v>0</v>
      </c>
      <c r="AW27" s="33">
        <f t="shared" si="11"/>
        <v>0</v>
      </c>
      <c r="AX27" s="57"/>
    </row>
    <row r="28" spans="1:52" s="16" customFormat="1" ht="30" customHeight="1" x14ac:dyDescent="0.25">
      <c r="A28" s="68" t="s">
        <v>110</v>
      </c>
      <c r="B28" s="77" t="s">
        <v>9</v>
      </c>
      <c r="C28" s="174" t="s">
        <v>10</v>
      </c>
      <c r="D28" s="174"/>
      <c r="E28" s="165" t="s">
        <v>58</v>
      </c>
      <c r="F28" s="165"/>
      <c r="G28" s="165"/>
      <c r="H28" s="165"/>
      <c r="I28" s="166"/>
      <c r="J28" s="76"/>
      <c r="K28" s="145"/>
      <c r="L28" s="172"/>
      <c r="M28" s="172"/>
      <c r="N28" s="172"/>
      <c r="O28" s="172"/>
      <c r="P28" s="207"/>
      <c r="Q28" s="76"/>
      <c r="R28" s="145"/>
      <c r="S28" s="172"/>
      <c r="T28" s="172"/>
      <c r="U28" s="172"/>
      <c r="V28" s="172"/>
      <c r="W28" s="207"/>
      <c r="X28" s="76"/>
      <c r="Y28" s="145"/>
      <c r="Z28" s="172"/>
      <c r="AA28" s="172"/>
      <c r="AB28" s="172"/>
      <c r="AC28" s="172"/>
      <c r="AD28" s="207"/>
      <c r="AE28" s="76"/>
      <c r="AF28" s="145"/>
      <c r="AG28" s="172"/>
      <c r="AH28" s="172"/>
      <c r="AI28" s="172"/>
      <c r="AJ28" s="172"/>
      <c r="AK28" s="207"/>
      <c r="AL28" s="76"/>
      <c r="AM28" s="145"/>
      <c r="AN28" s="165"/>
      <c r="AO28" s="165"/>
      <c r="AP28" s="165"/>
      <c r="AQ28" s="165"/>
      <c r="AR28" s="169"/>
      <c r="AS28" s="33">
        <f t="shared" si="7"/>
        <v>0</v>
      </c>
      <c r="AT28" s="33">
        <f t="shared" si="8"/>
        <v>0</v>
      </c>
      <c r="AU28" s="33">
        <f t="shared" si="9"/>
        <v>0</v>
      </c>
      <c r="AV28" s="33">
        <f t="shared" si="10"/>
        <v>0</v>
      </c>
      <c r="AW28" s="33">
        <f t="shared" si="11"/>
        <v>0</v>
      </c>
      <c r="AX28" s="57"/>
    </row>
    <row r="29" spans="1:52" s="16" customFormat="1" ht="27.6" customHeight="1" x14ac:dyDescent="0.25">
      <c r="A29" s="68" t="s">
        <v>111</v>
      </c>
      <c r="B29" s="13" t="s">
        <v>11</v>
      </c>
      <c r="C29" s="171" t="s">
        <v>79</v>
      </c>
      <c r="D29" s="171"/>
      <c r="E29" s="172" t="s">
        <v>137</v>
      </c>
      <c r="F29" s="172"/>
      <c r="G29" s="172"/>
      <c r="H29" s="172"/>
      <c r="I29" s="173"/>
      <c r="J29" s="58"/>
      <c r="K29" s="148"/>
      <c r="L29" s="165"/>
      <c r="M29" s="165"/>
      <c r="N29" s="165"/>
      <c r="O29" s="165"/>
      <c r="P29" s="169"/>
      <c r="Q29" s="58"/>
      <c r="R29" s="148"/>
      <c r="S29" s="165"/>
      <c r="T29" s="165"/>
      <c r="U29" s="165"/>
      <c r="V29" s="165"/>
      <c r="W29" s="169"/>
      <c r="X29" s="58"/>
      <c r="Y29" s="148"/>
      <c r="Z29" s="165"/>
      <c r="AA29" s="165"/>
      <c r="AB29" s="165"/>
      <c r="AC29" s="165"/>
      <c r="AD29" s="169"/>
      <c r="AE29" s="58"/>
      <c r="AF29" s="148"/>
      <c r="AG29" s="165"/>
      <c r="AH29" s="165"/>
      <c r="AI29" s="165"/>
      <c r="AJ29" s="165"/>
      <c r="AK29" s="169"/>
      <c r="AL29" s="58"/>
      <c r="AM29" s="148"/>
      <c r="AN29" s="165"/>
      <c r="AO29" s="165"/>
      <c r="AP29" s="165"/>
      <c r="AQ29" s="165"/>
      <c r="AR29" s="169"/>
      <c r="AS29" s="33">
        <f t="shared" si="7"/>
        <v>0</v>
      </c>
      <c r="AT29" s="33">
        <f t="shared" si="8"/>
        <v>0</v>
      </c>
      <c r="AU29" s="33">
        <f t="shared" si="9"/>
        <v>0</v>
      </c>
      <c r="AV29" s="33">
        <f t="shared" si="10"/>
        <v>0</v>
      </c>
      <c r="AW29" s="33">
        <f t="shared" si="11"/>
        <v>0</v>
      </c>
      <c r="AX29" s="57"/>
    </row>
    <row r="30" spans="1:52" s="16" customFormat="1" ht="27.6" customHeight="1" x14ac:dyDescent="0.25">
      <c r="A30" s="68" t="s">
        <v>112</v>
      </c>
      <c r="B30" s="13"/>
      <c r="C30" s="171"/>
      <c r="D30" s="171"/>
      <c r="E30" s="165" t="s">
        <v>80</v>
      </c>
      <c r="F30" s="165"/>
      <c r="G30" s="165"/>
      <c r="H30" s="165"/>
      <c r="I30" s="166"/>
      <c r="J30" s="58"/>
      <c r="K30" s="148"/>
      <c r="L30" s="165"/>
      <c r="M30" s="165"/>
      <c r="N30" s="165"/>
      <c r="O30" s="165"/>
      <c r="P30" s="169"/>
      <c r="Q30" s="58"/>
      <c r="R30" s="148"/>
      <c r="S30" s="165"/>
      <c r="T30" s="165"/>
      <c r="U30" s="165"/>
      <c r="V30" s="165"/>
      <c r="W30" s="169"/>
      <c r="X30" s="58"/>
      <c r="Y30" s="148"/>
      <c r="Z30" s="165"/>
      <c r="AA30" s="165"/>
      <c r="AB30" s="165"/>
      <c r="AC30" s="165"/>
      <c r="AD30" s="169"/>
      <c r="AE30" s="58"/>
      <c r="AF30" s="148"/>
      <c r="AG30" s="165"/>
      <c r="AH30" s="165"/>
      <c r="AI30" s="165"/>
      <c r="AJ30" s="165"/>
      <c r="AK30" s="169"/>
      <c r="AL30" s="58"/>
      <c r="AM30" s="148"/>
      <c r="AN30" s="165"/>
      <c r="AO30" s="165"/>
      <c r="AP30" s="165"/>
      <c r="AQ30" s="165"/>
      <c r="AR30" s="169"/>
      <c r="AS30" s="33">
        <f t="shared" si="7"/>
        <v>0</v>
      </c>
      <c r="AT30" s="33">
        <f t="shared" si="8"/>
        <v>0</v>
      </c>
      <c r="AU30" s="33">
        <f t="shared" si="9"/>
        <v>0</v>
      </c>
      <c r="AV30" s="33">
        <f t="shared" si="10"/>
        <v>0</v>
      </c>
      <c r="AW30" s="33">
        <f t="shared" si="11"/>
        <v>0</v>
      </c>
      <c r="AX30" s="57"/>
    </row>
    <row r="31" spans="1:52" s="16" customFormat="1" ht="14.25" customHeight="1" x14ac:dyDescent="0.25">
      <c r="A31" s="68" t="s">
        <v>113</v>
      </c>
      <c r="B31" s="20"/>
      <c r="C31" s="171"/>
      <c r="D31" s="171"/>
      <c r="E31" s="216" t="s">
        <v>59</v>
      </c>
      <c r="F31" s="216"/>
      <c r="G31" s="216"/>
      <c r="H31" s="216"/>
      <c r="I31" s="217"/>
      <c r="J31" s="44"/>
      <c r="K31" s="145"/>
      <c r="L31" s="171"/>
      <c r="M31" s="171"/>
      <c r="N31" s="171"/>
      <c r="O31" s="171"/>
      <c r="P31" s="215"/>
      <c r="Q31" s="44"/>
      <c r="R31" s="145"/>
      <c r="S31" s="171"/>
      <c r="T31" s="171"/>
      <c r="U31" s="171"/>
      <c r="V31" s="171"/>
      <c r="W31" s="215"/>
      <c r="X31" s="44"/>
      <c r="Y31" s="145"/>
      <c r="Z31" s="171"/>
      <c r="AA31" s="171"/>
      <c r="AB31" s="171"/>
      <c r="AC31" s="171"/>
      <c r="AD31" s="215"/>
      <c r="AE31" s="44"/>
      <c r="AF31" s="145"/>
      <c r="AG31" s="171"/>
      <c r="AH31" s="171"/>
      <c r="AI31" s="171"/>
      <c r="AJ31" s="171"/>
      <c r="AK31" s="215"/>
      <c r="AL31" s="44"/>
      <c r="AM31" s="145"/>
      <c r="AN31" s="171"/>
      <c r="AO31" s="171"/>
      <c r="AP31" s="171"/>
      <c r="AQ31" s="171"/>
      <c r="AR31" s="215"/>
      <c r="AS31" s="33"/>
      <c r="AT31" s="33"/>
      <c r="AU31" s="33"/>
      <c r="AV31" s="33"/>
      <c r="AW31" s="33"/>
      <c r="AX31" s="57"/>
    </row>
    <row r="32" spans="1:52" s="16" customFormat="1" ht="29.85" customHeight="1" x14ac:dyDescent="0.25">
      <c r="A32" s="68" t="s">
        <v>114</v>
      </c>
      <c r="B32" s="13" t="s">
        <v>12</v>
      </c>
      <c r="C32" s="171" t="s">
        <v>97</v>
      </c>
      <c r="D32" s="171"/>
      <c r="E32" s="172" t="s">
        <v>60</v>
      </c>
      <c r="F32" s="172"/>
      <c r="G32" s="172"/>
      <c r="H32" s="172"/>
      <c r="I32" s="173"/>
      <c r="J32" s="58"/>
      <c r="K32" s="148"/>
      <c r="L32" s="165"/>
      <c r="M32" s="165"/>
      <c r="N32" s="165"/>
      <c r="O32" s="165"/>
      <c r="P32" s="169"/>
      <c r="Q32" s="58"/>
      <c r="R32" s="148"/>
      <c r="S32" s="165"/>
      <c r="T32" s="165"/>
      <c r="U32" s="165"/>
      <c r="V32" s="165"/>
      <c r="W32" s="169"/>
      <c r="X32" s="58"/>
      <c r="Y32" s="148"/>
      <c r="Z32" s="165"/>
      <c r="AA32" s="165"/>
      <c r="AB32" s="165"/>
      <c r="AC32" s="165"/>
      <c r="AD32" s="169"/>
      <c r="AE32" s="58"/>
      <c r="AF32" s="148"/>
      <c r="AG32" s="165"/>
      <c r="AH32" s="165"/>
      <c r="AI32" s="165"/>
      <c r="AJ32" s="165"/>
      <c r="AK32" s="169"/>
      <c r="AL32" s="58"/>
      <c r="AM32" s="148"/>
      <c r="AN32" s="165"/>
      <c r="AO32" s="165"/>
      <c r="AP32" s="165"/>
      <c r="AQ32" s="165"/>
      <c r="AR32" s="169"/>
      <c r="AS32" s="33">
        <f t="shared" si="7"/>
        <v>0</v>
      </c>
      <c r="AT32" s="33">
        <f t="shared" si="8"/>
        <v>0</v>
      </c>
      <c r="AU32" s="33">
        <f t="shared" si="9"/>
        <v>0</v>
      </c>
      <c r="AV32" s="33">
        <f t="shared" si="10"/>
        <v>0</v>
      </c>
      <c r="AW32" s="33">
        <f t="shared" si="11"/>
        <v>0</v>
      </c>
      <c r="AX32" s="57"/>
    </row>
    <row r="33" spans="1:50" s="16" customFormat="1" ht="28.5" customHeight="1" x14ac:dyDescent="0.25">
      <c r="A33" s="68" t="s">
        <v>115</v>
      </c>
      <c r="B33" s="19"/>
      <c r="C33" s="70"/>
      <c r="D33" s="70"/>
      <c r="E33" s="165" t="s">
        <v>61</v>
      </c>
      <c r="F33" s="165"/>
      <c r="G33" s="165"/>
      <c r="H33" s="165"/>
      <c r="I33" s="166"/>
      <c r="J33" s="58"/>
      <c r="K33" s="145"/>
      <c r="L33" s="165"/>
      <c r="M33" s="165"/>
      <c r="N33" s="165"/>
      <c r="O33" s="165"/>
      <c r="P33" s="169"/>
      <c r="Q33" s="58"/>
      <c r="R33" s="145"/>
      <c r="S33" s="165"/>
      <c r="T33" s="165"/>
      <c r="U33" s="165"/>
      <c r="V33" s="165"/>
      <c r="W33" s="169"/>
      <c r="X33" s="58"/>
      <c r="Y33" s="145"/>
      <c r="Z33" s="165"/>
      <c r="AA33" s="165"/>
      <c r="AB33" s="165"/>
      <c r="AC33" s="165"/>
      <c r="AD33" s="169"/>
      <c r="AE33" s="58"/>
      <c r="AF33" s="145"/>
      <c r="AG33" s="165"/>
      <c r="AH33" s="165"/>
      <c r="AI33" s="165"/>
      <c r="AJ33" s="165"/>
      <c r="AK33" s="169"/>
      <c r="AL33" s="58"/>
      <c r="AM33" s="145"/>
      <c r="AN33" s="165"/>
      <c r="AO33" s="165"/>
      <c r="AP33" s="165"/>
      <c r="AQ33" s="165"/>
      <c r="AR33" s="169"/>
      <c r="AS33" s="33">
        <f t="shared" si="7"/>
        <v>0</v>
      </c>
      <c r="AT33" s="33">
        <f t="shared" si="8"/>
        <v>0</v>
      </c>
      <c r="AU33" s="33">
        <f t="shared" si="9"/>
        <v>0</v>
      </c>
      <c r="AV33" s="33">
        <f t="shared" si="10"/>
        <v>0</v>
      </c>
      <c r="AW33" s="33">
        <f t="shared" si="11"/>
        <v>0</v>
      </c>
      <c r="AX33" s="57"/>
    </row>
    <row r="34" spans="1:50" s="16" customFormat="1" ht="31.5" customHeight="1" x14ac:dyDescent="0.25">
      <c r="A34" s="68" t="s">
        <v>116</v>
      </c>
      <c r="B34" s="13" t="s">
        <v>13</v>
      </c>
      <c r="C34" s="171" t="s">
        <v>15</v>
      </c>
      <c r="D34" s="171"/>
      <c r="E34" s="172" t="s">
        <v>99</v>
      </c>
      <c r="F34" s="172"/>
      <c r="G34" s="172"/>
      <c r="H34" s="172"/>
      <c r="I34" s="173"/>
      <c r="J34" s="58"/>
      <c r="K34" s="148"/>
      <c r="L34" s="165"/>
      <c r="M34" s="165"/>
      <c r="N34" s="165"/>
      <c r="O34" s="165"/>
      <c r="P34" s="169"/>
      <c r="Q34" s="58"/>
      <c r="R34" s="148"/>
      <c r="S34" s="165"/>
      <c r="T34" s="165"/>
      <c r="U34" s="165"/>
      <c r="V34" s="165"/>
      <c r="W34" s="169"/>
      <c r="X34" s="58"/>
      <c r="Y34" s="148"/>
      <c r="Z34" s="165"/>
      <c r="AA34" s="165"/>
      <c r="AB34" s="165"/>
      <c r="AC34" s="165"/>
      <c r="AD34" s="169"/>
      <c r="AE34" s="58"/>
      <c r="AF34" s="148"/>
      <c r="AG34" s="165"/>
      <c r="AH34" s="165"/>
      <c r="AI34" s="165"/>
      <c r="AJ34" s="165"/>
      <c r="AK34" s="169"/>
      <c r="AL34" s="58"/>
      <c r="AM34" s="148"/>
      <c r="AN34" s="165"/>
      <c r="AO34" s="165"/>
      <c r="AP34" s="165"/>
      <c r="AQ34" s="165"/>
      <c r="AR34" s="169"/>
      <c r="AS34" s="33">
        <f t="shared" si="7"/>
        <v>0</v>
      </c>
      <c r="AT34" s="33">
        <f t="shared" si="8"/>
        <v>0</v>
      </c>
      <c r="AU34" s="33">
        <f t="shared" si="9"/>
        <v>0</v>
      </c>
      <c r="AV34" s="33">
        <f t="shared" si="10"/>
        <v>0</v>
      </c>
      <c r="AW34" s="33">
        <f t="shared" si="11"/>
        <v>0</v>
      </c>
      <c r="AX34" s="57"/>
    </row>
    <row r="35" spans="1:50" s="16" customFormat="1" ht="14.25" customHeight="1" x14ac:dyDescent="0.25">
      <c r="A35" s="68" t="s">
        <v>117</v>
      </c>
      <c r="B35" s="21"/>
      <c r="C35" s="171"/>
      <c r="D35" s="171"/>
      <c r="E35" s="165" t="s">
        <v>62</v>
      </c>
      <c r="F35" s="165"/>
      <c r="G35" s="165"/>
      <c r="H35" s="165"/>
      <c r="I35" s="166"/>
      <c r="J35" s="58"/>
      <c r="K35" s="148"/>
      <c r="L35" s="165"/>
      <c r="M35" s="165"/>
      <c r="N35" s="165"/>
      <c r="O35" s="165"/>
      <c r="P35" s="169"/>
      <c r="Q35" s="58"/>
      <c r="R35" s="148"/>
      <c r="S35" s="165"/>
      <c r="T35" s="165"/>
      <c r="U35" s="165"/>
      <c r="V35" s="165"/>
      <c r="W35" s="169"/>
      <c r="X35" s="58"/>
      <c r="Y35" s="148"/>
      <c r="Z35" s="165"/>
      <c r="AA35" s="165"/>
      <c r="AB35" s="165"/>
      <c r="AC35" s="165"/>
      <c r="AD35" s="169"/>
      <c r="AE35" s="58"/>
      <c r="AF35" s="148"/>
      <c r="AG35" s="165"/>
      <c r="AH35" s="165"/>
      <c r="AI35" s="165"/>
      <c r="AJ35" s="165"/>
      <c r="AK35" s="169"/>
      <c r="AL35" s="58"/>
      <c r="AM35" s="148"/>
      <c r="AN35" s="165"/>
      <c r="AO35" s="165"/>
      <c r="AP35" s="165"/>
      <c r="AQ35" s="165"/>
      <c r="AR35" s="169"/>
      <c r="AS35" s="33">
        <f t="shared" si="7"/>
        <v>0</v>
      </c>
      <c r="AT35" s="33">
        <f t="shared" si="8"/>
        <v>0</v>
      </c>
      <c r="AU35" s="33">
        <f t="shared" si="9"/>
        <v>0</v>
      </c>
      <c r="AV35" s="33">
        <f t="shared" si="10"/>
        <v>0</v>
      </c>
      <c r="AW35" s="33">
        <f t="shared" si="11"/>
        <v>0</v>
      </c>
      <c r="AX35" s="57"/>
    </row>
    <row r="36" spans="1:50" s="16" customFormat="1" ht="28.5" customHeight="1" x14ac:dyDescent="0.25">
      <c r="A36" s="68" t="s">
        <v>118</v>
      </c>
      <c r="B36" s="20"/>
      <c r="C36" s="171"/>
      <c r="D36" s="171"/>
      <c r="E36" s="165" t="s">
        <v>63</v>
      </c>
      <c r="F36" s="165"/>
      <c r="G36" s="165"/>
      <c r="H36" s="165"/>
      <c r="I36" s="166"/>
      <c r="J36" s="58"/>
      <c r="K36" s="149"/>
      <c r="L36" s="210"/>
      <c r="M36" s="210"/>
      <c r="N36" s="210"/>
      <c r="O36" s="210"/>
      <c r="P36" s="211"/>
      <c r="Q36" s="58"/>
      <c r="R36" s="149"/>
      <c r="S36" s="210"/>
      <c r="T36" s="210"/>
      <c r="U36" s="210"/>
      <c r="V36" s="210"/>
      <c r="W36" s="211"/>
      <c r="X36" s="58"/>
      <c r="Y36" s="149"/>
      <c r="Z36" s="210"/>
      <c r="AA36" s="210"/>
      <c r="AB36" s="210"/>
      <c r="AC36" s="210"/>
      <c r="AD36" s="211"/>
      <c r="AE36" s="58"/>
      <c r="AF36" s="149"/>
      <c r="AG36" s="210"/>
      <c r="AH36" s="210"/>
      <c r="AI36" s="210"/>
      <c r="AJ36" s="210"/>
      <c r="AK36" s="211"/>
      <c r="AL36" s="58"/>
      <c r="AM36" s="149"/>
      <c r="AN36" s="210"/>
      <c r="AO36" s="210"/>
      <c r="AP36" s="210"/>
      <c r="AQ36" s="210"/>
      <c r="AR36" s="211"/>
      <c r="AS36" s="33">
        <f t="shared" si="7"/>
        <v>0</v>
      </c>
      <c r="AT36" s="33">
        <f t="shared" si="8"/>
        <v>0</v>
      </c>
      <c r="AU36" s="33">
        <f t="shared" si="9"/>
        <v>0</v>
      </c>
      <c r="AV36" s="33">
        <f t="shared" si="10"/>
        <v>0</v>
      </c>
      <c r="AW36" s="33">
        <f t="shared" si="11"/>
        <v>0</v>
      </c>
      <c r="AX36" s="57"/>
    </row>
    <row r="37" spans="1:50" s="16" customFormat="1" x14ac:dyDescent="0.25">
      <c r="A37" s="68" t="s">
        <v>119</v>
      </c>
      <c r="B37" s="20"/>
      <c r="C37" s="171"/>
      <c r="D37" s="171"/>
      <c r="E37" s="216" t="s">
        <v>78</v>
      </c>
      <c r="F37" s="216"/>
      <c r="G37" s="216"/>
      <c r="H37" s="216"/>
      <c r="I37" s="217"/>
      <c r="J37" s="44"/>
      <c r="K37" s="150"/>
      <c r="L37" s="165"/>
      <c r="M37" s="165"/>
      <c r="N37" s="165"/>
      <c r="O37" s="165"/>
      <c r="P37" s="169"/>
      <c r="Q37" s="44"/>
      <c r="R37" s="150"/>
      <c r="S37" s="165"/>
      <c r="T37" s="165"/>
      <c r="U37" s="165"/>
      <c r="V37" s="165"/>
      <c r="W37" s="169"/>
      <c r="X37" s="44"/>
      <c r="Y37" s="150"/>
      <c r="Z37" s="165"/>
      <c r="AA37" s="165"/>
      <c r="AB37" s="165"/>
      <c r="AC37" s="165"/>
      <c r="AD37" s="169"/>
      <c r="AE37" s="44"/>
      <c r="AF37" s="150"/>
      <c r="AG37" s="165"/>
      <c r="AH37" s="165"/>
      <c r="AI37" s="165"/>
      <c r="AJ37" s="165"/>
      <c r="AK37" s="169"/>
      <c r="AL37" s="44"/>
      <c r="AM37" s="150"/>
      <c r="AN37" s="165"/>
      <c r="AO37" s="165"/>
      <c r="AP37" s="165"/>
      <c r="AQ37" s="165"/>
      <c r="AR37" s="169"/>
      <c r="AS37" s="33"/>
      <c r="AT37" s="33"/>
      <c r="AU37" s="33"/>
      <c r="AV37" s="33"/>
      <c r="AW37" s="33"/>
      <c r="AX37" s="57"/>
    </row>
    <row r="38" spans="1:50" s="16" customFormat="1" x14ac:dyDescent="0.25">
      <c r="A38" s="68" t="s">
        <v>120</v>
      </c>
      <c r="B38" s="78"/>
      <c r="C38" s="70"/>
      <c r="D38" s="70"/>
      <c r="E38" s="71" t="s">
        <v>94</v>
      </c>
      <c r="F38" s="60"/>
      <c r="G38" s="60"/>
      <c r="H38" s="60"/>
      <c r="I38" s="61"/>
      <c r="J38" s="58"/>
      <c r="K38" s="145"/>
      <c r="L38" s="218"/>
      <c r="M38" s="219"/>
      <c r="N38" s="219"/>
      <c r="O38" s="219"/>
      <c r="P38" s="220"/>
      <c r="Q38" s="58"/>
      <c r="R38" s="145"/>
      <c r="S38" s="218"/>
      <c r="T38" s="219"/>
      <c r="U38" s="219"/>
      <c r="V38" s="219"/>
      <c r="W38" s="220"/>
      <c r="X38" s="58"/>
      <c r="Y38" s="145"/>
      <c r="Z38" s="218"/>
      <c r="AA38" s="219"/>
      <c r="AB38" s="219"/>
      <c r="AC38" s="219"/>
      <c r="AD38" s="220"/>
      <c r="AE38" s="58"/>
      <c r="AF38" s="145"/>
      <c r="AG38" s="218"/>
      <c r="AH38" s="219"/>
      <c r="AI38" s="219"/>
      <c r="AJ38" s="219"/>
      <c r="AK38" s="220"/>
      <c r="AL38" s="58"/>
      <c r="AM38" s="145"/>
      <c r="AN38" s="218"/>
      <c r="AO38" s="219"/>
      <c r="AP38" s="219"/>
      <c r="AQ38" s="219"/>
      <c r="AR38" s="220"/>
      <c r="AS38" s="33">
        <f t="shared" si="7"/>
        <v>0</v>
      </c>
      <c r="AT38" s="33">
        <f t="shared" si="8"/>
        <v>0</v>
      </c>
      <c r="AU38" s="33">
        <f t="shared" si="9"/>
        <v>0</v>
      </c>
      <c r="AV38" s="33">
        <f t="shared" si="10"/>
        <v>0</v>
      </c>
      <c r="AW38" s="33">
        <f t="shared" si="11"/>
        <v>0</v>
      </c>
      <c r="AX38" s="57"/>
    </row>
    <row r="39" spans="1:50" s="16" customFormat="1" ht="31.5" customHeight="1" x14ac:dyDescent="0.25">
      <c r="A39" s="68" t="s">
        <v>121</v>
      </c>
      <c r="B39" s="13" t="s">
        <v>14</v>
      </c>
      <c r="C39" s="171" t="s">
        <v>17</v>
      </c>
      <c r="D39" s="171"/>
      <c r="E39" s="172" t="s">
        <v>100</v>
      </c>
      <c r="F39" s="165"/>
      <c r="G39" s="165"/>
      <c r="H39" s="165"/>
      <c r="I39" s="166"/>
      <c r="J39" s="58"/>
      <c r="K39" s="145"/>
      <c r="L39" s="167"/>
      <c r="M39" s="167"/>
      <c r="N39" s="167"/>
      <c r="O39" s="167"/>
      <c r="P39" s="168"/>
      <c r="Q39" s="58"/>
      <c r="R39" s="145"/>
      <c r="S39" s="167"/>
      <c r="T39" s="167"/>
      <c r="U39" s="167"/>
      <c r="V39" s="167"/>
      <c r="W39" s="168"/>
      <c r="X39" s="58"/>
      <c r="Y39" s="145"/>
      <c r="Z39" s="167"/>
      <c r="AA39" s="167"/>
      <c r="AB39" s="167"/>
      <c r="AC39" s="167"/>
      <c r="AD39" s="168"/>
      <c r="AE39" s="58"/>
      <c r="AF39" s="145"/>
      <c r="AG39" s="167"/>
      <c r="AH39" s="167"/>
      <c r="AI39" s="167"/>
      <c r="AJ39" s="167"/>
      <c r="AK39" s="168"/>
      <c r="AL39" s="58"/>
      <c r="AM39" s="145"/>
      <c r="AN39" s="167"/>
      <c r="AO39" s="167"/>
      <c r="AP39" s="167"/>
      <c r="AQ39" s="167"/>
      <c r="AR39" s="168"/>
      <c r="AS39" s="33">
        <f t="shared" si="7"/>
        <v>0</v>
      </c>
      <c r="AT39" s="33">
        <f t="shared" si="8"/>
        <v>0</v>
      </c>
      <c r="AU39" s="33">
        <f t="shared" si="9"/>
        <v>0</v>
      </c>
      <c r="AV39" s="33">
        <f t="shared" si="10"/>
        <v>0</v>
      </c>
      <c r="AW39" s="33">
        <f t="shared" si="11"/>
        <v>0</v>
      </c>
      <c r="AX39" s="57"/>
    </row>
    <row r="40" spans="1:50" s="16" customFormat="1" ht="28.5" customHeight="1" x14ac:dyDescent="0.25">
      <c r="A40" s="68" t="s">
        <v>122</v>
      </c>
      <c r="B40" s="22"/>
      <c r="C40" s="171" t="s">
        <v>64</v>
      </c>
      <c r="D40" s="171"/>
      <c r="E40" s="165" t="s">
        <v>65</v>
      </c>
      <c r="F40" s="165"/>
      <c r="G40" s="165"/>
      <c r="H40" s="165"/>
      <c r="I40" s="166"/>
      <c r="J40" s="58"/>
      <c r="K40" s="149"/>
      <c r="L40" s="167"/>
      <c r="M40" s="167"/>
      <c r="N40" s="167"/>
      <c r="O40" s="167"/>
      <c r="P40" s="168"/>
      <c r="Q40" s="58"/>
      <c r="R40" s="149"/>
      <c r="S40" s="167"/>
      <c r="T40" s="167"/>
      <c r="U40" s="167"/>
      <c r="V40" s="167"/>
      <c r="W40" s="168"/>
      <c r="X40" s="58"/>
      <c r="Y40" s="149"/>
      <c r="Z40" s="167"/>
      <c r="AA40" s="167"/>
      <c r="AB40" s="167"/>
      <c r="AC40" s="167"/>
      <c r="AD40" s="168"/>
      <c r="AE40" s="58"/>
      <c r="AF40" s="149"/>
      <c r="AG40" s="167"/>
      <c r="AH40" s="167"/>
      <c r="AI40" s="167"/>
      <c r="AJ40" s="167"/>
      <c r="AK40" s="168"/>
      <c r="AL40" s="58"/>
      <c r="AM40" s="149"/>
      <c r="AN40" s="167"/>
      <c r="AO40" s="167"/>
      <c r="AP40" s="167"/>
      <c r="AQ40" s="167"/>
      <c r="AR40" s="168"/>
      <c r="AS40" s="33">
        <f t="shared" si="7"/>
        <v>0</v>
      </c>
      <c r="AT40" s="33">
        <f t="shared" si="8"/>
        <v>0</v>
      </c>
      <c r="AU40" s="33">
        <f t="shared" si="9"/>
        <v>0</v>
      </c>
      <c r="AV40" s="33">
        <f t="shared" si="10"/>
        <v>0</v>
      </c>
      <c r="AW40" s="33">
        <f t="shared" si="11"/>
        <v>0</v>
      </c>
      <c r="AX40" s="57"/>
    </row>
    <row r="41" spans="1:50" s="16" customFormat="1" ht="14.25" customHeight="1" x14ac:dyDescent="0.25">
      <c r="A41" s="68" t="s">
        <v>123</v>
      </c>
      <c r="B41" s="22"/>
      <c r="C41" s="171"/>
      <c r="D41" s="171"/>
      <c r="E41" s="165" t="s">
        <v>136</v>
      </c>
      <c r="F41" s="165"/>
      <c r="G41" s="165"/>
      <c r="H41" s="165"/>
      <c r="I41" s="166"/>
      <c r="J41" s="58"/>
      <c r="K41" s="145"/>
      <c r="L41" s="167"/>
      <c r="M41" s="167"/>
      <c r="N41" s="167"/>
      <c r="O41" s="167"/>
      <c r="P41" s="168"/>
      <c r="Q41" s="58"/>
      <c r="R41" s="145"/>
      <c r="S41" s="167"/>
      <c r="T41" s="167"/>
      <c r="U41" s="167"/>
      <c r="V41" s="167"/>
      <c r="W41" s="168"/>
      <c r="X41" s="58"/>
      <c r="Y41" s="145"/>
      <c r="Z41" s="167"/>
      <c r="AA41" s="167"/>
      <c r="AB41" s="167"/>
      <c r="AC41" s="167"/>
      <c r="AD41" s="168"/>
      <c r="AE41" s="58"/>
      <c r="AF41" s="145"/>
      <c r="AG41" s="167"/>
      <c r="AH41" s="167"/>
      <c r="AI41" s="167"/>
      <c r="AJ41" s="167"/>
      <c r="AK41" s="168"/>
      <c r="AL41" s="58"/>
      <c r="AM41" s="145"/>
      <c r="AN41" s="167"/>
      <c r="AO41" s="167"/>
      <c r="AP41" s="167"/>
      <c r="AQ41" s="167"/>
      <c r="AR41" s="168"/>
      <c r="AS41" s="33">
        <f t="shared" si="7"/>
        <v>0</v>
      </c>
      <c r="AT41" s="33">
        <f t="shared" si="8"/>
        <v>0</v>
      </c>
      <c r="AU41" s="33">
        <f t="shared" si="9"/>
        <v>0</v>
      </c>
      <c r="AV41" s="33">
        <f t="shared" si="10"/>
        <v>0</v>
      </c>
      <c r="AW41" s="33">
        <f t="shared" si="11"/>
        <v>0</v>
      </c>
      <c r="AX41" s="57"/>
    </row>
    <row r="42" spans="1:50" s="16" customFormat="1" ht="14.25" customHeight="1" x14ac:dyDescent="0.25">
      <c r="A42" s="68" t="s">
        <v>124</v>
      </c>
      <c r="B42" s="22"/>
      <c r="C42" s="171" t="s">
        <v>66</v>
      </c>
      <c r="D42" s="171"/>
      <c r="E42" s="165" t="s">
        <v>67</v>
      </c>
      <c r="F42" s="165"/>
      <c r="G42" s="165"/>
      <c r="H42" s="165"/>
      <c r="I42" s="166"/>
      <c r="J42" s="58"/>
      <c r="K42" s="149"/>
      <c r="L42" s="167"/>
      <c r="M42" s="167"/>
      <c r="N42" s="167"/>
      <c r="O42" s="167"/>
      <c r="P42" s="168"/>
      <c r="Q42" s="58"/>
      <c r="R42" s="149"/>
      <c r="S42" s="167"/>
      <c r="T42" s="167"/>
      <c r="U42" s="167"/>
      <c r="V42" s="167"/>
      <c r="W42" s="168"/>
      <c r="X42" s="58"/>
      <c r="Y42" s="149"/>
      <c r="Z42" s="167"/>
      <c r="AA42" s="167"/>
      <c r="AB42" s="167"/>
      <c r="AC42" s="167"/>
      <c r="AD42" s="168"/>
      <c r="AE42" s="58"/>
      <c r="AF42" s="149"/>
      <c r="AG42" s="167"/>
      <c r="AH42" s="167"/>
      <c r="AI42" s="167"/>
      <c r="AJ42" s="167"/>
      <c r="AK42" s="168"/>
      <c r="AL42" s="58"/>
      <c r="AM42" s="149"/>
      <c r="AN42" s="167"/>
      <c r="AO42" s="167"/>
      <c r="AP42" s="167"/>
      <c r="AQ42" s="167"/>
      <c r="AR42" s="168"/>
      <c r="AS42" s="33">
        <f t="shared" si="7"/>
        <v>0</v>
      </c>
      <c r="AT42" s="33">
        <f t="shared" si="8"/>
        <v>0</v>
      </c>
      <c r="AU42" s="33">
        <f t="shared" si="9"/>
        <v>0</v>
      </c>
      <c r="AV42" s="33">
        <f t="shared" si="10"/>
        <v>0</v>
      </c>
      <c r="AW42" s="33">
        <f t="shared" si="11"/>
        <v>0</v>
      </c>
      <c r="AX42" s="57"/>
    </row>
    <row r="43" spans="1:50" s="16" customFormat="1" ht="14.25" customHeight="1" x14ac:dyDescent="0.25">
      <c r="A43" s="68" t="s">
        <v>125</v>
      </c>
      <c r="B43" s="23"/>
      <c r="C43" s="164"/>
      <c r="D43" s="164"/>
      <c r="E43" s="165" t="s">
        <v>148</v>
      </c>
      <c r="F43" s="165"/>
      <c r="G43" s="165"/>
      <c r="H43" s="165"/>
      <c r="I43" s="166"/>
      <c r="J43" s="58"/>
      <c r="K43" s="145"/>
      <c r="L43" s="167"/>
      <c r="M43" s="167"/>
      <c r="N43" s="167"/>
      <c r="O43" s="167"/>
      <c r="P43" s="168"/>
      <c r="Q43" s="58"/>
      <c r="R43" s="145"/>
      <c r="S43" s="167"/>
      <c r="T43" s="167"/>
      <c r="U43" s="167"/>
      <c r="V43" s="167"/>
      <c r="W43" s="168"/>
      <c r="X43" s="58"/>
      <c r="Y43" s="145"/>
      <c r="Z43" s="167"/>
      <c r="AA43" s="167"/>
      <c r="AB43" s="167"/>
      <c r="AC43" s="167"/>
      <c r="AD43" s="168"/>
      <c r="AE43" s="58"/>
      <c r="AF43" s="145"/>
      <c r="AG43" s="167"/>
      <c r="AH43" s="167"/>
      <c r="AI43" s="167"/>
      <c r="AJ43" s="167"/>
      <c r="AK43" s="168"/>
      <c r="AL43" s="58"/>
      <c r="AM43" s="145"/>
      <c r="AN43" s="167"/>
      <c r="AO43" s="167"/>
      <c r="AP43" s="167"/>
      <c r="AQ43" s="167"/>
      <c r="AR43" s="168"/>
      <c r="AS43" s="33">
        <f t="shared" si="7"/>
        <v>0</v>
      </c>
      <c r="AT43" s="33">
        <f t="shared" si="8"/>
        <v>0</v>
      </c>
      <c r="AU43" s="33">
        <f t="shared" si="9"/>
        <v>0</v>
      </c>
      <c r="AV43" s="33">
        <f t="shared" si="10"/>
        <v>0</v>
      </c>
      <c r="AW43" s="33">
        <f t="shared" si="11"/>
        <v>0</v>
      </c>
      <c r="AX43" s="57"/>
    </row>
    <row r="44" spans="1:50" s="16" customFormat="1" ht="14.25" customHeight="1" x14ac:dyDescent="0.25">
      <c r="A44" s="68"/>
      <c r="B44" s="23"/>
      <c r="C44" s="164"/>
      <c r="D44" s="164"/>
      <c r="E44" s="165" t="s">
        <v>144</v>
      </c>
      <c r="F44" s="165"/>
      <c r="G44" s="165"/>
      <c r="H44" s="165"/>
      <c r="I44" s="166"/>
      <c r="J44" s="58"/>
      <c r="K44" s="137"/>
      <c r="L44" s="167"/>
      <c r="M44" s="167"/>
      <c r="N44" s="167"/>
      <c r="O44" s="167"/>
      <c r="P44" s="168"/>
      <c r="Q44" s="58"/>
      <c r="R44" s="137"/>
      <c r="S44" s="167"/>
      <c r="T44" s="167"/>
      <c r="U44" s="167"/>
      <c r="V44" s="167"/>
      <c r="W44" s="168"/>
      <c r="X44" s="58"/>
      <c r="Y44" s="137"/>
      <c r="Z44" s="167"/>
      <c r="AA44" s="167"/>
      <c r="AB44" s="167"/>
      <c r="AC44" s="167"/>
      <c r="AD44" s="168"/>
      <c r="AE44" s="58"/>
      <c r="AF44" s="137"/>
      <c r="AG44" s="167"/>
      <c r="AH44" s="167"/>
      <c r="AI44" s="167"/>
      <c r="AJ44" s="167"/>
      <c r="AK44" s="168"/>
      <c r="AL44" s="58"/>
      <c r="AM44" s="137"/>
      <c r="AN44" s="167"/>
      <c r="AO44" s="167"/>
      <c r="AP44" s="167"/>
      <c r="AQ44" s="167"/>
      <c r="AR44" s="168"/>
      <c r="AS44" s="33"/>
      <c r="AT44" s="33"/>
      <c r="AU44" s="33"/>
      <c r="AV44" s="33"/>
      <c r="AW44" s="33"/>
      <c r="AX44" s="94"/>
    </row>
    <row r="45" spans="1:50" s="16" customFormat="1" ht="28.35" customHeight="1" x14ac:dyDescent="0.25">
      <c r="A45" s="68" t="s">
        <v>126</v>
      </c>
      <c r="B45" s="13" t="s">
        <v>16</v>
      </c>
      <c r="C45" s="171" t="s">
        <v>19</v>
      </c>
      <c r="D45" s="171"/>
      <c r="E45" s="172" t="s">
        <v>56</v>
      </c>
      <c r="F45" s="172"/>
      <c r="G45" s="172"/>
      <c r="H45" s="172"/>
      <c r="I45" s="173"/>
      <c r="J45" s="58"/>
      <c r="K45" s="149"/>
      <c r="L45" s="167"/>
      <c r="M45" s="167"/>
      <c r="N45" s="167"/>
      <c r="O45" s="167"/>
      <c r="P45" s="168"/>
      <c r="Q45" s="58"/>
      <c r="R45" s="149"/>
      <c r="S45" s="167"/>
      <c r="T45" s="167"/>
      <c r="U45" s="167"/>
      <c r="V45" s="167"/>
      <c r="W45" s="168"/>
      <c r="X45" s="58"/>
      <c r="Y45" s="149"/>
      <c r="Z45" s="167"/>
      <c r="AA45" s="167"/>
      <c r="AB45" s="167"/>
      <c r="AC45" s="167"/>
      <c r="AD45" s="168"/>
      <c r="AE45" s="58"/>
      <c r="AF45" s="149"/>
      <c r="AG45" s="167"/>
      <c r="AH45" s="167"/>
      <c r="AI45" s="167"/>
      <c r="AJ45" s="167"/>
      <c r="AK45" s="168"/>
      <c r="AL45" s="58"/>
      <c r="AM45" s="149"/>
      <c r="AN45" s="167"/>
      <c r="AO45" s="167"/>
      <c r="AP45" s="167"/>
      <c r="AQ45" s="167"/>
      <c r="AR45" s="168"/>
      <c r="AS45" s="33">
        <f t="shared" si="7"/>
        <v>0</v>
      </c>
      <c r="AT45" s="33">
        <f t="shared" si="8"/>
        <v>0</v>
      </c>
      <c r="AU45" s="33">
        <f t="shared" si="9"/>
        <v>0</v>
      </c>
      <c r="AV45" s="33">
        <f t="shared" si="10"/>
        <v>0</v>
      </c>
      <c r="AW45" s="33">
        <f t="shared" si="11"/>
        <v>0</v>
      </c>
      <c r="AX45" s="57"/>
    </row>
    <row r="46" spans="1:50" s="16" customFormat="1" ht="14.25" customHeight="1" x14ac:dyDescent="0.25">
      <c r="A46" s="68" t="s">
        <v>127</v>
      </c>
      <c r="B46" s="22"/>
      <c r="C46" s="171"/>
      <c r="D46" s="171"/>
      <c r="E46" s="165" t="s">
        <v>68</v>
      </c>
      <c r="F46" s="165"/>
      <c r="G46" s="165"/>
      <c r="H46" s="165"/>
      <c r="I46" s="166"/>
      <c r="J46" s="58"/>
      <c r="K46" s="149"/>
      <c r="L46" s="167"/>
      <c r="M46" s="167"/>
      <c r="N46" s="167"/>
      <c r="O46" s="167"/>
      <c r="P46" s="168"/>
      <c r="Q46" s="58"/>
      <c r="R46" s="149"/>
      <c r="S46" s="167"/>
      <c r="T46" s="167"/>
      <c r="U46" s="167"/>
      <c r="V46" s="167"/>
      <c r="W46" s="168"/>
      <c r="X46" s="58"/>
      <c r="Y46" s="149"/>
      <c r="Z46" s="167"/>
      <c r="AA46" s="167"/>
      <c r="AB46" s="167"/>
      <c r="AC46" s="167"/>
      <c r="AD46" s="168"/>
      <c r="AE46" s="58"/>
      <c r="AF46" s="149"/>
      <c r="AG46" s="167"/>
      <c r="AH46" s="167"/>
      <c r="AI46" s="167"/>
      <c r="AJ46" s="167"/>
      <c r="AK46" s="168"/>
      <c r="AL46" s="58"/>
      <c r="AM46" s="149"/>
      <c r="AN46" s="167"/>
      <c r="AO46" s="167"/>
      <c r="AP46" s="167"/>
      <c r="AQ46" s="167"/>
      <c r="AR46" s="168"/>
      <c r="AS46" s="33">
        <f t="shared" si="7"/>
        <v>0</v>
      </c>
      <c r="AT46" s="33">
        <f t="shared" si="8"/>
        <v>0</v>
      </c>
      <c r="AU46" s="33">
        <f t="shared" si="9"/>
        <v>0</v>
      </c>
      <c r="AV46" s="33">
        <f t="shared" si="10"/>
        <v>0</v>
      </c>
      <c r="AW46" s="33">
        <f t="shared" si="11"/>
        <v>0</v>
      </c>
      <c r="AX46" s="57"/>
    </row>
    <row r="47" spans="1:50" s="16" customFormat="1" ht="28.5" customHeight="1" x14ac:dyDescent="0.25">
      <c r="A47" s="68" t="s">
        <v>128</v>
      </c>
      <c r="B47" s="23"/>
      <c r="C47" s="164"/>
      <c r="D47" s="164"/>
      <c r="E47" s="165" t="s">
        <v>135</v>
      </c>
      <c r="F47" s="165"/>
      <c r="G47" s="165"/>
      <c r="H47" s="165"/>
      <c r="I47" s="166"/>
      <c r="J47" s="58"/>
      <c r="K47" s="145"/>
      <c r="L47" s="167"/>
      <c r="M47" s="167"/>
      <c r="N47" s="167"/>
      <c r="O47" s="167"/>
      <c r="P47" s="168"/>
      <c r="Q47" s="58"/>
      <c r="R47" s="145"/>
      <c r="S47" s="167"/>
      <c r="T47" s="167"/>
      <c r="U47" s="167"/>
      <c r="V47" s="167"/>
      <c r="W47" s="168"/>
      <c r="X47" s="58"/>
      <c r="Y47" s="145"/>
      <c r="Z47" s="167"/>
      <c r="AA47" s="167"/>
      <c r="AB47" s="167"/>
      <c r="AC47" s="167"/>
      <c r="AD47" s="168"/>
      <c r="AE47" s="58"/>
      <c r="AF47" s="145"/>
      <c r="AG47" s="167"/>
      <c r="AH47" s="167"/>
      <c r="AI47" s="167"/>
      <c r="AJ47" s="167"/>
      <c r="AK47" s="168"/>
      <c r="AL47" s="58"/>
      <c r="AM47" s="145"/>
      <c r="AN47" s="167"/>
      <c r="AO47" s="167"/>
      <c r="AP47" s="167"/>
      <c r="AQ47" s="167"/>
      <c r="AR47" s="168"/>
      <c r="AS47" s="33">
        <f t="shared" si="7"/>
        <v>0</v>
      </c>
      <c r="AT47" s="33">
        <f t="shared" si="8"/>
        <v>0</v>
      </c>
      <c r="AU47" s="33">
        <f t="shared" si="9"/>
        <v>0</v>
      </c>
      <c r="AV47" s="33">
        <f t="shared" si="10"/>
        <v>0</v>
      </c>
      <c r="AW47" s="33">
        <f t="shared" si="11"/>
        <v>0</v>
      </c>
      <c r="AX47" s="57"/>
    </row>
    <row r="48" spans="1:50" s="16" customFormat="1" ht="28.35" customHeight="1" thickBot="1" x14ac:dyDescent="0.3">
      <c r="A48" s="68" t="s">
        <v>129</v>
      </c>
      <c r="B48" s="139" t="s">
        <v>18</v>
      </c>
      <c r="C48" s="221" t="s">
        <v>87</v>
      </c>
      <c r="D48" s="221"/>
      <c r="E48" s="222" t="s">
        <v>88</v>
      </c>
      <c r="F48" s="222"/>
      <c r="G48" s="222"/>
      <c r="H48" s="222"/>
      <c r="I48" s="223"/>
      <c r="J48" s="91"/>
      <c r="K48" s="151"/>
      <c r="L48" s="195"/>
      <c r="M48" s="195"/>
      <c r="N48" s="195"/>
      <c r="O48" s="195"/>
      <c r="P48" s="224"/>
      <c r="Q48" s="91"/>
      <c r="R48" s="151"/>
      <c r="S48" s="195"/>
      <c r="T48" s="195"/>
      <c r="U48" s="195"/>
      <c r="V48" s="195"/>
      <c r="W48" s="224"/>
      <c r="X48" s="91"/>
      <c r="Y48" s="151"/>
      <c r="Z48" s="195"/>
      <c r="AA48" s="195"/>
      <c r="AB48" s="195"/>
      <c r="AC48" s="195"/>
      <c r="AD48" s="224"/>
      <c r="AE48" s="91"/>
      <c r="AF48" s="151"/>
      <c r="AG48" s="195"/>
      <c r="AH48" s="195"/>
      <c r="AI48" s="195"/>
      <c r="AJ48" s="195"/>
      <c r="AK48" s="224"/>
      <c r="AL48" s="91"/>
      <c r="AM48" s="151"/>
      <c r="AN48" s="195"/>
      <c r="AO48" s="195"/>
      <c r="AP48" s="195"/>
      <c r="AQ48" s="195"/>
      <c r="AR48" s="224"/>
      <c r="AS48" s="33">
        <f t="shared" ref="AS48" si="12">IF(J48="нет",1,0)</f>
        <v>0</v>
      </c>
      <c r="AT48" s="33">
        <f t="shared" ref="AT48" si="13">IF(Q48="нет",1,0)</f>
        <v>0</v>
      </c>
      <c r="AU48" s="33">
        <f t="shared" si="9"/>
        <v>0</v>
      </c>
      <c r="AV48" s="33">
        <f t="shared" si="10"/>
        <v>0</v>
      </c>
      <c r="AW48" s="33">
        <f t="shared" si="11"/>
        <v>0</v>
      </c>
      <c r="AX48" s="57"/>
    </row>
    <row r="49" spans="1:50" ht="15.75" thickBot="1" x14ac:dyDescent="0.3">
      <c r="A49" s="68"/>
      <c r="B49" s="225" t="s">
        <v>96</v>
      </c>
      <c r="C49" s="226"/>
      <c r="D49" s="226"/>
      <c r="E49" s="226"/>
      <c r="F49" s="226"/>
      <c r="G49" s="226"/>
      <c r="H49" s="226"/>
      <c r="I49" s="226"/>
      <c r="J49" s="138"/>
      <c r="K49" s="152"/>
      <c r="L49" s="208"/>
      <c r="M49" s="208"/>
      <c r="N49" s="208"/>
      <c r="O49" s="208"/>
      <c r="P49" s="209"/>
      <c r="Q49" s="138"/>
      <c r="R49" s="152"/>
      <c r="S49" s="208"/>
      <c r="T49" s="208"/>
      <c r="U49" s="208"/>
      <c r="V49" s="208"/>
      <c r="W49" s="209"/>
      <c r="X49" s="138"/>
      <c r="Y49" s="152"/>
      <c r="Z49" s="208"/>
      <c r="AA49" s="208"/>
      <c r="AB49" s="208"/>
      <c r="AC49" s="208"/>
      <c r="AD49" s="209"/>
      <c r="AE49" s="138"/>
      <c r="AF49" s="152"/>
      <c r="AG49" s="208"/>
      <c r="AH49" s="208"/>
      <c r="AI49" s="208"/>
      <c r="AJ49" s="208"/>
      <c r="AK49" s="209"/>
      <c r="AL49" s="138"/>
      <c r="AM49" s="152"/>
      <c r="AN49" s="208"/>
      <c r="AO49" s="208"/>
      <c r="AP49" s="208"/>
      <c r="AQ49" s="208"/>
      <c r="AR49" s="209"/>
      <c r="AS49" s="33"/>
      <c r="AT49" s="33"/>
      <c r="AU49" s="33"/>
      <c r="AV49" s="33"/>
      <c r="AW49" s="33"/>
      <c r="AX49" s="57"/>
    </row>
    <row r="50" spans="1:50" ht="15.75" thickBot="1" x14ac:dyDescent="0.3">
      <c r="A50" s="68"/>
      <c r="B50" s="88"/>
      <c r="C50" s="89"/>
      <c r="D50" s="89"/>
      <c r="E50" s="89"/>
      <c r="F50" s="89"/>
      <c r="G50" s="89"/>
      <c r="H50" s="89"/>
      <c r="I50" s="89"/>
      <c r="J50" s="131">
        <f>COUNTA(J21:J48)</f>
        <v>0</v>
      </c>
      <c r="K50" s="153"/>
      <c r="L50" s="35"/>
      <c r="M50" s="35"/>
      <c r="N50" s="35"/>
      <c r="O50" s="35"/>
      <c r="P50" s="36"/>
      <c r="Q50" s="131">
        <f>COUNTA(Q21:Q48)</f>
        <v>0</v>
      </c>
      <c r="R50" s="153"/>
      <c r="S50" s="35"/>
      <c r="T50" s="35"/>
      <c r="U50" s="35"/>
      <c r="V50" s="35"/>
      <c r="W50" s="36"/>
      <c r="X50" s="131">
        <f>COUNTA(X21:X48)</f>
        <v>0</v>
      </c>
      <c r="Y50" s="153"/>
      <c r="Z50" s="35"/>
      <c r="AA50" s="35"/>
      <c r="AB50" s="35"/>
      <c r="AC50" s="35"/>
      <c r="AD50" s="36"/>
      <c r="AE50" s="131">
        <f>COUNTA(AE21:AE48)</f>
        <v>0</v>
      </c>
      <c r="AF50" s="153"/>
      <c r="AG50" s="35"/>
      <c r="AH50" s="35"/>
      <c r="AI50" s="35"/>
      <c r="AJ50" s="35"/>
      <c r="AK50" s="36"/>
      <c r="AL50" s="131">
        <f>COUNTA(AL21:AL48)</f>
        <v>0</v>
      </c>
      <c r="AM50" s="153"/>
      <c r="AN50" s="35"/>
      <c r="AO50" s="35"/>
      <c r="AP50" s="35"/>
      <c r="AQ50" s="35"/>
      <c r="AR50" s="36"/>
      <c r="AS50" s="33"/>
      <c r="AT50" s="33"/>
      <c r="AU50" s="33"/>
      <c r="AV50" s="33"/>
      <c r="AW50" s="33"/>
      <c r="AX50" s="94"/>
    </row>
    <row r="51" spans="1:50" ht="15.75" thickBot="1" x14ac:dyDescent="0.3">
      <c r="A51" s="143"/>
      <c r="B51" s="63" t="s">
        <v>69</v>
      </c>
      <c r="C51" s="64"/>
      <c r="D51" s="64"/>
      <c r="E51" s="64"/>
      <c r="F51" s="64"/>
      <c r="G51" s="64"/>
      <c r="H51" s="64"/>
      <c r="I51" s="64"/>
      <c r="J51" s="40"/>
      <c r="K51" s="154" t="str">
        <f>IF(J$50&gt;0,MIN(K$18:K$49),"")</f>
        <v/>
      </c>
      <c r="L51" s="140"/>
      <c r="M51" s="140"/>
      <c r="N51" s="140"/>
      <c r="O51" s="140"/>
      <c r="P51" s="41"/>
      <c r="Q51" s="40"/>
      <c r="R51" s="154" t="str">
        <f>IF(Q$50&gt;0,MIN(R$18:R$49),"")</f>
        <v/>
      </c>
      <c r="S51" s="65"/>
      <c r="T51" s="65"/>
      <c r="U51" s="65"/>
      <c r="V51" s="65"/>
      <c r="W51" s="41"/>
      <c r="X51" s="40"/>
      <c r="Y51" s="154" t="str">
        <f>IF(X$50&gt;0,MIN(Y$18:Y$49),"")</f>
        <v/>
      </c>
      <c r="Z51" s="35"/>
      <c r="AA51" s="35"/>
      <c r="AB51" s="35"/>
      <c r="AC51" s="35"/>
      <c r="AD51" s="36"/>
      <c r="AE51" s="40"/>
      <c r="AF51" s="154" t="str">
        <f>IF(AE$50&gt;0,MIN(AF$18:AF$49),"")</f>
        <v/>
      </c>
      <c r="AG51" s="35"/>
      <c r="AH51" s="35"/>
      <c r="AI51" s="35"/>
      <c r="AJ51" s="35"/>
      <c r="AK51" s="36"/>
      <c r="AL51" s="40"/>
      <c r="AM51" s="154" t="str">
        <f>IF(AL$50&gt;0,MIN(AM$18:AM$49),"")</f>
        <v/>
      </c>
      <c r="AN51" s="35"/>
      <c r="AO51" s="35"/>
      <c r="AP51" s="35"/>
      <c r="AQ51" s="35"/>
      <c r="AR51" s="36"/>
      <c r="AS51" s="33">
        <f>SUM(AS38:AS48,AS21:AS35)</f>
        <v>0</v>
      </c>
      <c r="AT51" s="33">
        <f>SUM(AT38:AT48,AT21:AT35)</f>
        <v>0</v>
      </c>
      <c r="AU51" s="33">
        <f>SUM(AU38:AU48,AU21:AU35)</f>
        <v>0</v>
      </c>
      <c r="AV51" s="33">
        <f>SUM(AV38:AV48,AV21:AV35)</f>
        <v>0</v>
      </c>
      <c r="AW51" s="33">
        <f>SUM(AW38:AW48,AW21:AW35)</f>
        <v>0</v>
      </c>
      <c r="AX51" s="57"/>
    </row>
    <row r="52" spans="1:50" ht="15.75" thickBot="1" x14ac:dyDescent="0.3">
      <c r="A52" s="143"/>
      <c r="B52" s="63" t="s">
        <v>70</v>
      </c>
      <c r="C52" s="64"/>
      <c r="D52" s="64"/>
      <c r="E52" s="64"/>
      <c r="F52" s="64"/>
      <c r="G52" s="64"/>
      <c r="H52" s="64"/>
      <c r="I52" s="64"/>
      <c r="J52" s="24"/>
      <c r="K52" s="154" t="str">
        <f>IF(J$50&gt;0,MAX(K$18:K$49),"")</f>
        <v/>
      </c>
      <c r="L52" s="35"/>
      <c r="M52" s="35"/>
      <c r="N52" s="35"/>
      <c r="O52" s="35"/>
      <c r="P52" s="36"/>
      <c r="Q52" s="24"/>
      <c r="R52" s="154" t="str">
        <f>IF(Q$50&gt;0,MAX(R$18:R$49),"")</f>
        <v/>
      </c>
      <c r="S52" s="35"/>
      <c r="T52" s="35"/>
      <c r="U52" s="35"/>
      <c r="V52" s="35"/>
      <c r="W52" s="36"/>
      <c r="X52" s="24"/>
      <c r="Y52" s="154" t="str">
        <f>IF(X$50&gt;0,MAX(Y$18:Y$49),"")</f>
        <v/>
      </c>
      <c r="Z52" s="35"/>
      <c r="AA52" s="35"/>
      <c r="AB52" s="35"/>
      <c r="AC52" s="35"/>
      <c r="AD52" s="36"/>
      <c r="AE52" s="24"/>
      <c r="AF52" s="154" t="str">
        <f>IF(AE$50&gt;0,MAX(AF$18:AF$49),"")</f>
        <v/>
      </c>
      <c r="AG52" s="35"/>
      <c r="AH52" s="35"/>
      <c r="AI52" s="35"/>
      <c r="AJ52" s="35"/>
      <c r="AK52" s="36"/>
      <c r="AL52" s="24"/>
      <c r="AM52" s="154" t="str">
        <f>IF(AL$50&gt;0,MAX(AM$18:AM$49),"")</f>
        <v/>
      </c>
      <c r="AN52" s="35"/>
      <c r="AO52" s="35"/>
      <c r="AP52" s="35"/>
      <c r="AQ52" s="35"/>
      <c r="AR52" s="36"/>
    </row>
    <row r="53" spans="1:50" ht="15.75" thickBot="1" x14ac:dyDescent="0.3">
      <c r="A53" s="157" t="s">
        <v>153</v>
      </c>
      <c r="B53" s="24" t="s">
        <v>71</v>
      </c>
      <c r="C53" s="25"/>
      <c r="D53" s="25"/>
      <c r="E53" s="25"/>
      <c r="F53" s="25"/>
      <c r="G53" s="26"/>
      <c r="H53" s="64"/>
      <c r="I53" s="25"/>
      <c r="J53" s="27"/>
      <c r="K53" s="153" t="str">
        <f>IFERROR(K52-K51,"")</f>
        <v/>
      </c>
      <c r="L53" s="25"/>
      <c r="M53" s="25"/>
      <c r="N53" s="25"/>
      <c r="O53" s="25"/>
      <c r="P53" s="28"/>
      <c r="Q53" s="27"/>
      <c r="R53" s="153" t="str">
        <f>IFERROR(R52-R51,"")</f>
        <v/>
      </c>
      <c r="S53" s="25"/>
      <c r="T53" s="25"/>
      <c r="U53" s="25"/>
      <c r="V53" s="25"/>
      <c r="W53" s="28"/>
      <c r="X53" s="27"/>
      <c r="Y53" s="153" t="str">
        <f>IFERROR(Y52-Y51,"")</f>
        <v/>
      </c>
      <c r="Z53" s="25"/>
      <c r="AA53" s="25"/>
      <c r="AB53" s="25"/>
      <c r="AC53" s="25"/>
      <c r="AD53" s="28"/>
      <c r="AE53" s="27"/>
      <c r="AF53" s="153" t="str">
        <f>IFERROR(AF52-AF51,"")</f>
        <v/>
      </c>
      <c r="AG53" s="25"/>
      <c r="AH53" s="25"/>
      <c r="AI53" s="25"/>
      <c r="AJ53" s="25"/>
      <c r="AK53" s="28"/>
      <c r="AL53" s="27"/>
      <c r="AM53" s="153" t="str">
        <f>IFERROR(AM52-AM51,"")</f>
        <v/>
      </c>
      <c r="AN53" s="25"/>
      <c r="AO53" s="25"/>
      <c r="AP53" s="25"/>
      <c r="AQ53" s="25"/>
      <c r="AR53" s="28"/>
    </row>
    <row r="54" spans="1:50" x14ac:dyDescent="0.25">
      <c r="A54" s="161" t="s">
        <v>139</v>
      </c>
      <c r="B54" s="129" t="s">
        <v>140</v>
      </c>
      <c r="C54" s="129"/>
      <c r="D54" s="129"/>
      <c r="E54" s="129"/>
      <c r="F54" s="129"/>
      <c r="G54" s="34"/>
      <c r="H54" s="130"/>
      <c r="I54" s="129"/>
      <c r="J54" s="34"/>
      <c r="K54" s="155">
        <f>MAX(K52:AR52)</f>
        <v>0</v>
      </c>
      <c r="R54" s="155"/>
      <c r="Y54" s="155"/>
      <c r="AF54" s="155"/>
      <c r="AM54" s="155"/>
    </row>
    <row r="55" spans="1:50" x14ac:dyDescent="0.25">
      <c r="A55" s="161"/>
      <c r="B55" s="129" t="s">
        <v>69</v>
      </c>
      <c r="C55" s="129"/>
      <c r="D55" s="129"/>
      <c r="E55" s="129"/>
      <c r="F55" s="129"/>
      <c r="G55" s="34"/>
      <c r="H55" s="130"/>
      <c r="I55" s="129"/>
      <c r="J55" s="34"/>
      <c r="K55" s="155">
        <f>MIN(K51:AR51)</f>
        <v>0</v>
      </c>
      <c r="R55" s="155"/>
      <c r="Y55" s="155"/>
      <c r="AF55" s="155"/>
      <c r="AM55" s="155"/>
    </row>
    <row r="56" spans="1:50" x14ac:dyDescent="0.25">
      <c r="A56" s="161"/>
      <c r="B56" s="129" t="s">
        <v>133</v>
      </c>
      <c r="C56" s="129"/>
      <c r="D56" s="129"/>
      <c r="E56" s="129"/>
      <c r="F56" s="129"/>
      <c r="G56" s="34"/>
      <c r="H56" s="130"/>
      <c r="I56" s="129"/>
      <c r="J56" s="34"/>
      <c r="K56" s="155">
        <f>K54-K55</f>
        <v>0</v>
      </c>
      <c r="R56" s="155"/>
      <c r="Y56" s="155"/>
      <c r="AF56" s="155"/>
      <c r="AM56" s="155"/>
    </row>
    <row r="57" spans="1:50" x14ac:dyDescent="0.25">
      <c r="J57" s="2"/>
      <c r="K57" s="7"/>
    </row>
    <row r="58" spans="1:50" x14ac:dyDescent="0.25">
      <c r="B58" s="29" t="s">
        <v>72</v>
      </c>
    </row>
    <row r="59" spans="1:50" ht="15.75" thickBot="1" x14ac:dyDescent="0.3"/>
    <row r="60" spans="1:50" ht="75" x14ac:dyDescent="0.25">
      <c r="G60"/>
      <c r="H60"/>
      <c r="J60" s="192" t="s">
        <v>73</v>
      </c>
      <c r="K60" s="180"/>
      <c r="L60" s="190" t="s">
        <v>74</v>
      </c>
      <c r="M60" s="191"/>
      <c r="N60" s="79" t="s">
        <v>75</v>
      </c>
      <c r="O60" s="180" t="s">
        <v>76</v>
      </c>
      <c r="P60" s="181"/>
      <c r="Q60" s="192" t="s">
        <v>73</v>
      </c>
      <c r="R60" s="180"/>
      <c r="S60" s="190" t="s">
        <v>74</v>
      </c>
      <c r="T60" s="191"/>
      <c r="U60" s="79" t="s">
        <v>75</v>
      </c>
      <c r="V60" s="180" t="s">
        <v>76</v>
      </c>
      <c r="W60" s="181"/>
      <c r="X60" s="192" t="s">
        <v>73</v>
      </c>
      <c r="Y60" s="180"/>
      <c r="Z60" s="190" t="s">
        <v>74</v>
      </c>
      <c r="AA60" s="191"/>
      <c r="AB60" s="79" t="s">
        <v>75</v>
      </c>
      <c r="AC60" s="180" t="s">
        <v>76</v>
      </c>
      <c r="AD60" s="181"/>
      <c r="AE60" s="192" t="s">
        <v>73</v>
      </c>
      <c r="AF60" s="180"/>
      <c r="AG60" s="190" t="s">
        <v>74</v>
      </c>
      <c r="AH60" s="191"/>
      <c r="AI60" s="79" t="s">
        <v>75</v>
      </c>
      <c r="AJ60" s="180" t="s">
        <v>76</v>
      </c>
      <c r="AK60" s="181"/>
      <c r="AL60" s="192" t="s">
        <v>73</v>
      </c>
      <c r="AM60" s="180"/>
      <c r="AN60" s="190" t="s">
        <v>74</v>
      </c>
      <c r="AO60" s="191"/>
      <c r="AP60" s="79" t="s">
        <v>75</v>
      </c>
      <c r="AQ60" s="180" t="s">
        <v>76</v>
      </c>
      <c r="AR60" s="181"/>
    </row>
    <row r="61" spans="1:50" ht="14.25" customHeight="1" x14ac:dyDescent="0.25">
      <c r="G61"/>
      <c r="H61"/>
      <c r="J61" s="193"/>
      <c r="K61" s="167"/>
      <c r="L61" s="186"/>
      <c r="M61" s="187"/>
      <c r="N61" s="90"/>
      <c r="O61" s="182"/>
      <c r="P61" s="183"/>
      <c r="Q61" s="193"/>
      <c r="R61" s="167"/>
      <c r="S61" s="186"/>
      <c r="T61" s="187"/>
      <c r="U61" s="90"/>
      <c r="V61" s="182"/>
      <c r="W61" s="183"/>
      <c r="X61" s="193"/>
      <c r="Y61" s="167"/>
      <c r="Z61" s="186"/>
      <c r="AA61" s="187"/>
      <c r="AB61" s="90"/>
      <c r="AC61" s="182"/>
      <c r="AD61" s="183"/>
      <c r="AE61" s="193"/>
      <c r="AF61" s="167"/>
      <c r="AG61" s="186"/>
      <c r="AH61" s="187"/>
      <c r="AI61" s="90"/>
      <c r="AJ61" s="182"/>
      <c r="AK61" s="183"/>
      <c r="AL61" s="193"/>
      <c r="AM61" s="167"/>
      <c r="AN61" s="186"/>
      <c r="AO61" s="187"/>
      <c r="AP61" s="90"/>
      <c r="AQ61" s="182"/>
      <c r="AR61" s="183"/>
    </row>
    <row r="62" spans="1:50" x14ac:dyDescent="0.25">
      <c r="G62"/>
      <c r="H62"/>
      <c r="J62" s="193"/>
      <c r="K62" s="167"/>
      <c r="L62" s="186"/>
      <c r="M62" s="187"/>
      <c r="N62" s="90"/>
      <c r="O62" s="182"/>
      <c r="P62" s="183"/>
      <c r="Q62" s="193"/>
      <c r="R62" s="167"/>
      <c r="S62" s="186"/>
      <c r="T62" s="187"/>
      <c r="U62" s="90"/>
      <c r="V62" s="182"/>
      <c r="W62" s="183"/>
      <c r="X62" s="193"/>
      <c r="Y62" s="167"/>
      <c r="Z62" s="186"/>
      <c r="AA62" s="187"/>
      <c r="AB62" s="90"/>
      <c r="AC62" s="182"/>
      <c r="AD62" s="183"/>
      <c r="AE62" s="193"/>
      <c r="AF62" s="167"/>
      <c r="AG62" s="186"/>
      <c r="AH62" s="187"/>
      <c r="AI62" s="90"/>
      <c r="AJ62" s="182"/>
      <c r="AK62" s="183"/>
      <c r="AL62" s="193"/>
      <c r="AM62" s="167"/>
      <c r="AN62" s="186"/>
      <c r="AO62" s="187"/>
      <c r="AP62" s="90"/>
      <c r="AQ62" s="182"/>
      <c r="AR62" s="183"/>
    </row>
    <row r="63" spans="1:50" x14ac:dyDescent="0.25">
      <c r="G63"/>
      <c r="H63"/>
      <c r="J63" s="193"/>
      <c r="K63" s="167"/>
      <c r="L63" s="186"/>
      <c r="M63" s="187"/>
      <c r="N63" s="90"/>
      <c r="O63" s="182"/>
      <c r="P63" s="183"/>
      <c r="Q63" s="193"/>
      <c r="R63" s="167"/>
      <c r="S63" s="186"/>
      <c r="T63" s="187"/>
      <c r="U63" s="90"/>
      <c r="V63" s="182"/>
      <c r="W63" s="183"/>
      <c r="X63" s="193"/>
      <c r="Y63" s="167"/>
      <c r="Z63" s="186"/>
      <c r="AA63" s="187"/>
      <c r="AB63" s="90"/>
      <c r="AC63" s="182"/>
      <c r="AD63" s="183"/>
      <c r="AE63" s="193"/>
      <c r="AF63" s="167"/>
      <c r="AG63" s="186"/>
      <c r="AH63" s="187"/>
      <c r="AI63" s="90"/>
      <c r="AJ63" s="182"/>
      <c r="AK63" s="183"/>
      <c r="AL63" s="193"/>
      <c r="AM63" s="167"/>
      <c r="AN63" s="186"/>
      <c r="AO63" s="187"/>
      <c r="AP63" s="90"/>
      <c r="AQ63" s="182"/>
      <c r="AR63" s="183"/>
    </row>
    <row r="64" spans="1:50" x14ac:dyDescent="0.25">
      <c r="G64"/>
      <c r="H64"/>
      <c r="J64" s="193"/>
      <c r="K64" s="167"/>
      <c r="L64" s="186"/>
      <c r="M64" s="187"/>
      <c r="N64" s="90"/>
      <c r="O64" s="182"/>
      <c r="P64" s="183"/>
      <c r="Q64" s="193"/>
      <c r="R64" s="167"/>
      <c r="S64" s="186"/>
      <c r="T64" s="187"/>
      <c r="U64" s="90"/>
      <c r="V64" s="182"/>
      <c r="W64" s="183"/>
      <c r="X64" s="193"/>
      <c r="Y64" s="167"/>
      <c r="Z64" s="186"/>
      <c r="AA64" s="187"/>
      <c r="AB64" s="90"/>
      <c r="AC64" s="182"/>
      <c r="AD64" s="183"/>
      <c r="AE64" s="193"/>
      <c r="AF64" s="167"/>
      <c r="AG64" s="186"/>
      <c r="AH64" s="187"/>
      <c r="AI64" s="90"/>
      <c r="AJ64" s="182"/>
      <c r="AK64" s="183"/>
      <c r="AL64" s="193"/>
      <c r="AM64" s="167"/>
      <c r="AN64" s="186"/>
      <c r="AO64" s="187"/>
      <c r="AP64" s="90"/>
      <c r="AQ64" s="182"/>
      <c r="AR64" s="183"/>
    </row>
    <row r="65" spans="2:44" x14ac:dyDescent="0.25">
      <c r="G65"/>
      <c r="H65"/>
      <c r="J65" s="193"/>
      <c r="K65" s="167"/>
      <c r="L65" s="186"/>
      <c r="M65" s="187"/>
      <c r="N65" s="90"/>
      <c r="O65" s="182"/>
      <c r="P65" s="183"/>
      <c r="Q65" s="193"/>
      <c r="R65" s="167"/>
      <c r="S65" s="186"/>
      <c r="T65" s="187"/>
      <c r="U65" s="90"/>
      <c r="V65" s="182"/>
      <c r="W65" s="183"/>
      <c r="X65" s="193"/>
      <c r="Y65" s="167"/>
      <c r="Z65" s="186"/>
      <c r="AA65" s="187"/>
      <c r="AB65" s="90"/>
      <c r="AC65" s="182"/>
      <c r="AD65" s="183"/>
      <c r="AE65" s="193"/>
      <c r="AF65" s="167"/>
      <c r="AG65" s="186"/>
      <c r="AH65" s="187"/>
      <c r="AI65" s="90"/>
      <c r="AJ65" s="182"/>
      <c r="AK65" s="183"/>
      <c r="AL65" s="193"/>
      <c r="AM65" s="167"/>
      <c r="AN65" s="186"/>
      <c r="AO65" s="187"/>
      <c r="AP65" s="90"/>
      <c r="AQ65" s="182"/>
      <c r="AR65" s="183"/>
    </row>
    <row r="66" spans="2:44" x14ac:dyDescent="0.25">
      <c r="G66"/>
      <c r="H66"/>
      <c r="J66" s="193"/>
      <c r="K66" s="167"/>
      <c r="L66" s="186"/>
      <c r="M66" s="187"/>
      <c r="N66" s="90"/>
      <c r="O66" s="182"/>
      <c r="P66" s="183"/>
      <c r="Q66" s="193"/>
      <c r="R66" s="167"/>
      <c r="S66" s="186"/>
      <c r="T66" s="187"/>
      <c r="U66" s="90"/>
      <c r="V66" s="182"/>
      <c r="W66" s="183"/>
      <c r="X66" s="193"/>
      <c r="Y66" s="167"/>
      <c r="Z66" s="186"/>
      <c r="AA66" s="187"/>
      <c r="AB66" s="90"/>
      <c r="AC66" s="182"/>
      <c r="AD66" s="183"/>
      <c r="AE66" s="193"/>
      <c r="AF66" s="167"/>
      <c r="AG66" s="186"/>
      <c r="AH66" s="187"/>
      <c r="AI66" s="90"/>
      <c r="AJ66" s="182"/>
      <c r="AK66" s="183"/>
      <c r="AL66" s="193"/>
      <c r="AM66" s="167"/>
      <c r="AN66" s="186"/>
      <c r="AO66" s="187"/>
      <c r="AP66" s="90"/>
      <c r="AQ66" s="182"/>
      <c r="AR66" s="183"/>
    </row>
    <row r="67" spans="2:44" ht="15.75" thickBot="1" x14ac:dyDescent="0.3">
      <c r="G67"/>
      <c r="H67"/>
      <c r="J67" s="194" t="s">
        <v>77</v>
      </c>
      <c r="K67" s="195"/>
      <c r="L67" s="188"/>
      <c r="M67" s="189"/>
      <c r="N67" s="92">
        <f>SUM(N61:N66)</f>
        <v>0</v>
      </c>
      <c r="O67" s="184"/>
      <c r="P67" s="185"/>
      <c r="Q67" s="194" t="s">
        <v>77</v>
      </c>
      <c r="R67" s="195"/>
      <c r="S67" s="188"/>
      <c r="T67" s="189"/>
      <c r="U67" s="92">
        <f>SUM(U61:U66)</f>
        <v>0</v>
      </c>
      <c r="V67" s="184"/>
      <c r="W67" s="185"/>
      <c r="X67" s="194" t="s">
        <v>77</v>
      </c>
      <c r="Y67" s="195"/>
      <c r="Z67" s="188"/>
      <c r="AA67" s="189"/>
      <c r="AB67" s="92">
        <f>SUM(AB61:AB66)</f>
        <v>0</v>
      </c>
      <c r="AC67" s="184"/>
      <c r="AD67" s="185"/>
      <c r="AE67" s="194" t="s">
        <v>77</v>
      </c>
      <c r="AF67" s="195"/>
      <c r="AG67" s="188"/>
      <c r="AH67" s="189"/>
      <c r="AI67" s="92">
        <f t="shared" ref="AI67" si="14">SUM(AI61:AI66)</f>
        <v>0</v>
      </c>
      <c r="AJ67" s="184"/>
      <c r="AK67" s="185"/>
      <c r="AL67" s="194" t="s">
        <v>77</v>
      </c>
      <c r="AM67" s="195"/>
      <c r="AN67" s="188"/>
      <c r="AO67" s="189"/>
      <c r="AP67" s="92">
        <f t="shared" ref="AP67" si="15">SUM(AP61:AP66)</f>
        <v>0</v>
      </c>
      <c r="AQ67" s="184"/>
      <c r="AR67" s="185"/>
    </row>
    <row r="69" spans="2:44" ht="15.75" thickBot="1" x14ac:dyDescent="0.3">
      <c r="K69" s="54"/>
      <c r="R69" s="54"/>
    </row>
    <row r="70" spans="2:44" ht="15.75" thickBot="1" x14ac:dyDescent="0.3">
      <c r="B70" s="30" t="s">
        <v>89</v>
      </c>
      <c r="C70" s="31"/>
      <c r="D70" s="31"/>
      <c r="E70" s="31"/>
      <c r="F70" s="31"/>
      <c r="G70" s="38"/>
      <c r="H70" s="32"/>
      <c r="I70" s="31"/>
      <c r="J70" s="31"/>
      <c r="K70" s="95"/>
    </row>
    <row r="71" spans="2:44" ht="15.75" thickBot="1" x14ac:dyDescent="0.3">
      <c r="K71" s="96">
        <f>K70-D2</f>
        <v>0</v>
      </c>
    </row>
    <row r="72" spans="2:44" ht="15.75" thickBot="1" x14ac:dyDescent="0.3">
      <c r="B72" s="40" t="s">
        <v>141</v>
      </c>
      <c r="C72" s="31"/>
      <c r="D72" s="31"/>
      <c r="E72" s="31"/>
      <c r="F72" s="31"/>
      <c r="G72" s="38"/>
      <c r="H72" s="32"/>
      <c r="I72" s="31"/>
      <c r="J72" s="31"/>
      <c r="K72" s="97">
        <f>K71+K56</f>
        <v>0</v>
      </c>
    </row>
    <row r="73" spans="2:44" x14ac:dyDescent="0.25">
      <c r="K73" s="54"/>
    </row>
  </sheetData>
  <autoFilter ref="A17:AZ17" xr:uid="{00000000-0001-0000-0100-000000000000}">
    <filterColumn colId="2" showButton="0"/>
    <filterColumn colId="4" showButton="0"/>
    <filterColumn colId="5" showButton="0"/>
    <filterColumn colId="6" showButton="0"/>
    <filterColumn colId="7" showButton="0"/>
    <filterColumn colId="11" showButton="0"/>
    <filterColumn colId="12" showButton="0"/>
    <filterColumn colId="13" showButton="0"/>
    <filterColumn colId="14" showButton="0"/>
    <filterColumn colId="18" showButton="0"/>
    <filterColumn colId="19" showButton="0"/>
    <filterColumn colId="20" showButton="0"/>
    <filterColumn colId="21" showButton="0"/>
    <filterColumn colId="25" showButton="0"/>
    <filterColumn colId="26" showButton="0"/>
    <filterColumn colId="27" showButton="0"/>
    <filterColumn colId="28" showButton="0"/>
    <filterColumn colId="32" showButton="0"/>
    <filterColumn colId="33" showButton="0"/>
    <filterColumn colId="34" showButton="0"/>
    <filterColumn colId="35" showButton="0"/>
    <filterColumn colId="39" showButton="0"/>
    <filterColumn colId="40" showButton="0"/>
    <filterColumn colId="41" showButton="0"/>
    <filterColumn colId="42" showButton="0"/>
    <filterColumn colId="49" showButton="0"/>
    <filterColumn colId="50" showButton="0"/>
  </autoFilter>
  <mergeCells count="366">
    <mergeCell ref="Y4:Z4"/>
    <mergeCell ref="Y5:Z5"/>
    <mergeCell ref="Y6:Z6"/>
    <mergeCell ref="Y7:Z7"/>
    <mergeCell ref="Y8:Z8"/>
    <mergeCell ref="Y9:Z9"/>
    <mergeCell ref="AB4:AC4"/>
    <mergeCell ref="AB5:AC5"/>
    <mergeCell ref="AB6:AC6"/>
    <mergeCell ref="AB7:AC7"/>
    <mergeCell ref="AB8:AC8"/>
    <mergeCell ref="AB9:AC9"/>
    <mergeCell ref="AN34:AR34"/>
    <mergeCell ref="AX17:AZ17"/>
    <mergeCell ref="AN21:AR21"/>
    <mergeCell ref="S33:W33"/>
    <mergeCell ref="Z33:AD33"/>
    <mergeCell ref="AG33:AK33"/>
    <mergeCell ref="AN33:AR33"/>
    <mergeCell ref="AN30:AR30"/>
    <mergeCell ref="AN28:AR28"/>
    <mergeCell ref="AN27:AR27"/>
    <mergeCell ref="AN25:AR25"/>
    <mergeCell ref="AN26:AR26"/>
    <mergeCell ref="S21:W21"/>
    <mergeCell ref="S22:W22"/>
    <mergeCell ref="S23:W23"/>
    <mergeCell ref="S19:W19"/>
    <mergeCell ref="S20:W20"/>
    <mergeCell ref="AG21:AK21"/>
    <mergeCell ref="AG22:AK22"/>
    <mergeCell ref="AG23:AK23"/>
    <mergeCell ref="AG19:AK19"/>
    <mergeCell ref="AG20:AK20"/>
    <mergeCell ref="AN31:AR31"/>
    <mergeCell ref="AN20:AR20"/>
    <mergeCell ref="AN35:AR35"/>
    <mergeCell ref="AG48:AK48"/>
    <mergeCell ref="AN48:AR48"/>
    <mergeCell ref="AN45:AR45"/>
    <mergeCell ref="AN43:AR43"/>
    <mergeCell ref="AG36:AK36"/>
    <mergeCell ref="AN36:AR36"/>
    <mergeCell ref="AG35:AK35"/>
    <mergeCell ref="AG47:AK47"/>
    <mergeCell ref="AN47:AR47"/>
    <mergeCell ref="AG46:AK46"/>
    <mergeCell ref="AN46:AR46"/>
    <mergeCell ref="AN38:AR38"/>
    <mergeCell ref="AN37:AR37"/>
    <mergeCell ref="AN39:AR39"/>
    <mergeCell ref="AN32:AR32"/>
    <mergeCell ref="E30:I30"/>
    <mergeCell ref="L30:P30"/>
    <mergeCell ref="E31:I31"/>
    <mergeCell ref="S30:W30"/>
    <mergeCell ref="Z30:AD30"/>
    <mergeCell ref="AG29:AK29"/>
    <mergeCell ref="E26:I26"/>
    <mergeCell ref="L26:P26"/>
    <mergeCell ref="AN29:AR29"/>
    <mergeCell ref="AG28:AK28"/>
    <mergeCell ref="L29:P29"/>
    <mergeCell ref="L28:P28"/>
    <mergeCell ref="AG30:AK30"/>
    <mergeCell ref="AG49:AK49"/>
    <mergeCell ref="AN49:AR49"/>
    <mergeCell ref="C48:D48"/>
    <mergeCell ref="E48:I48"/>
    <mergeCell ref="L48:P48"/>
    <mergeCell ref="S48:W48"/>
    <mergeCell ref="Z48:AD48"/>
    <mergeCell ref="B49:I49"/>
    <mergeCell ref="L49:P49"/>
    <mergeCell ref="S49:W49"/>
    <mergeCell ref="C47:D47"/>
    <mergeCell ref="E47:I47"/>
    <mergeCell ref="L47:P47"/>
    <mergeCell ref="S47:W47"/>
    <mergeCell ref="Z47:AD47"/>
    <mergeCell ref="C46:D46"/>
    <mergeCell ref="E46:I46"/>
    <mergeCell ref="L46:P46"/>
    <mergeCell ref="S46:W46"/>
    <mergeCell ref="Z46:AD46"/>
    <mergeCell ref="C43:D43"/>
    <mergeCell ref="E43:I43"/>
    <mergeCell ref="L43:P43"/>
    <mergeCell ref="S43:W43"/>
    <mergeCell ref="Z43:AD43"/>
    <mergeCell ref="AG43:AK43"/>
    <mergeCell ref="C45:D45"/>
    <mergeCell ref="E45:I45"/>
    <mergeCell ref="L45:P45"/>
    <mergeCell ref="S45:W45"/>
    <mergeCell ref="Z45:AD45"/>
    <mergeCell ref="AG45:AK45"/>
    <mergeCell ref="C41:D41"/>
    <mergeCell ref="E41:I41"/>
    <mergeCell ref="L41:P41"/>
    <mergeCell ref="S41:W41"/>
    <mergeCell ref="Z41:AD41"/>
    <mergeCell ref="AG41:AK41"/>
    <mergeCell ref="AN41:AR41"/>
    <mergeCell ref="C42:D42"/>
    <mergeCell ref="E42:I42"/>
    <mergeCell ref="L42:P42"/>
    <mergeCell ref="S42:W42"/>
    <mergeCell ref="Z42:AD42"/>
    <mergeCell ref="AG42:AK42"/>
    <mergeCell ref="AN42:AR42"/>
    <mergeCell ref="C39:D39"/>
    <mergeCell ref="E39:I39"/>
    <mergeCell ref="L39:P39"/>
    <mergeCell ref="S39:W39"/>
    <mergeCell ref="Z39:AD39"/>
    <mergeCell ref="AG39:AK39"/>
    <mergeCell ref="AG40:AK40"/>
    <mergeCell ref="AN40:AR40"/>
    <mergeCell ref="L38:P38"/>
    <mergeCell ref="S38:W38"/>
    <mergeCell ref="Z38:AD38"/>
    <mergeCell ref="AG38:AK38"/>
    <mergeCell ref="C40:D40"/>
    <mergeCell ref="E40:I40"/>
    <mergeCell ref="L40:P40"/>
    <mergeCell ref="S40:W40"/>
    <mergeCell ref="Z40:AD40"/>
    <mergeCell ref="L35:P35"/>
    <mergeCell ref="S35:W35"/>
    <mergeCell ref="Z35:AD35"/>
    <mergeCell ref="C37:D37"/>
    <mergeCell ref="E37:I37"/>
    <mergeCell ref="L37:P37"/>
    <mergeCell ref="S37:W37"/>
    <mergeCell ref="Z37:AD37"/>
    <mergeCell ref="AG37:AK37"/>
    <mergeCell ref="C36:D36"/>
    <mergeCell ref="E36:I36"/>
    <mergeCell ref="L36:P36"/>
    <mergeCell ref="C35:D35"/>
    <mergeCell ref="E35:I35"/>
    <mergeCell ref="C32:D32"/>
    <mergeCell ref="C34:D34"/>
    <mergeCell ref="E34:I34"/>
    <mergeCell ref="L34:P34"/>
    <mergeCell ref="S34:W34"/>
    <mergeCell ref="Z34:AD34"/>
    <mergeCell ref="AG34:AK34"/>
    <mergeCell ref="L31:P31"/>
    <mergeCell ref="S31:W31"/>
    <mergeCell ref="Z31:AD31"/>
    <mergeCell ref="AG31:AK31"/>
    <mergeCell ref="E32:I32"/>
    <mergeCell ref="L32:P32"/>
    <mergeCell ref="S32:W32"/>
    <mergeCell ref="Z32:AD32"/>
    <mergeCell ref="AG32:AK32"/>
    <mergeCell ref="C31:D31"/>
    <mergeCell ref="E33:I33"/>
    <mergeCell ref="L33:P33"/>
    <mergeCell ref="AG24:AK24"/>
    <mergeCell ref="AN24:AR24"/>
    <mergeCell ref="E20:I20"/>
    <mergeCell ref="L19:P19"/>
    <mergeCell ref="Z19:AD19"/>
    <mergeCell ref="AN19:AR19"/>
    <mergeCell ref="C27:D27"/>
    <mergeCell ref="E27:I27"/>
    <mergeCell ref="L27:P27"/>
    <mergeCell ref="S27:W27"/>
    <mergeCell ref="Z27:AD27"/>
    <mergeCell ref="AG27:AK27"/>
    <mergeCell ref="S25:W25"/>
    <mergeCell ref="Z25:AD25"/>
    <mergeCell ref="AG25:AK25"/>
    <mergeCell ref="C26:D26"/>
    <mergeCell ref="AG26:AK26"/>
    <mergeCell ref="E23:I23"/>
    <mergeCell ref="E22:I22"/>
    <mergeCell ref="AN22:AR22"/>
    <mergeCell ref="AN23:AR23"/>
    <mergeCell ref="L23:P23"/>
    <mergeCell ref="L22:P22"/>
    <mergeCell ref="Z22:AD22"/>
    <mergeCell ref="X16:AD16"/>
    <mergeCell ref="AE16:AK16"/>
    <mergeCell ref="E21:I21"/>
    <mergeCell ref="Z17:AD17"/>
    <mergeCell ref="AG17:AK17"/>
    <mergeCell ref="AN17:AR17"/>
    <mergeCell ref="AG18:AK18"/>
    <mergeCell ref="AN18:AR18"/>
    <mergeCell ref="L21:P21"/>
    <mergeCell ref="Z21:AD21"/>
    <mergeCell ref="L20:P20"/>
    <mergeCell ref="Z20:AD20"/>
    <mergeCell ref="Q16:W16"/>
    <mergeCell ref="Q62:R62"/>
    <mergeCell ref="Q63:R63"/>
    <mergeCell ref="Z23:AD23"/>
    <mergeCell ref="V60:W60"/>
    <mergeCell ref="V61:W61"/>
    <mergeCell ref="V62:W62"/>
    <mergeCell ref="V63:W63"/>
    <mergeCell ref="S24:W24"/>
    <mergeCell ref="Z24:AD24"/>
    <mergeCell ref="S26:W26"/>
    <mergeCell ref="Z26:AD26"/>
    <mergeCell ref="S29:W29"/>
    <mergeCell ref="Z29:AD29"/>
    <mergeCell ref="S28:W28"/>
    <mergeCell ref="Z28:AD28"/>
    <mergeCell ref="AC60:AD60"/>
    <mergeCell ref="Z49:AD49"/>
    <mergeCell ref="X60:Y60"/>
    <mergeCell ref="S36:W36"/>
    <mergeCell ref="Z36:AD36"/>
    <mergeCell ref="S60:T60"/>
    <mergeCell ref="S61:T61"/>
    <mergeCell ref="Q60:R60"/>
    <mergeCell ref="Q61:R61"/>
    <mergeCell ref="B1:H1"/>
    <mergeCell ref="B16:H16"/>
    <mergeCell ref="J16:P16"/>
    <mergeCell ref="B2:C2"/>
    <mergeCell ref="C19:D19"/>
    <mergeCell ref="E19:I19"/>
    <mergeCell ref="C24:D24"/>
    <mergeCell ref="E24:I24"/>
    <mergeCell ref="L24:P24"/>
    <mergeCell ref="C17:D17"/>
    <mergeCell ref="E17:I17"/>
    <mergeCell ref="L17:P17"/>
    <mergeCell ref="Q64:R64"/>
    <mergeCell ref="Q65:R65"/>
    <mergeCell ref="Q66:R66"/>
    <mergeCell ref="Q67:R67"/>
    <mergeCell ref="J60:K60"/>
    <mergeCell ref="J61:K61"/>
    <mergeCell ref="J62:K62"/>
    <mergeCell ref="J63:K63"/>
    <mergeCell ref="J64:K64"/>
    <mergeCell ref="J65:K65"/>
    <mergeCell ref="O60:P60"/>
    <mergeCell ref="O61:P61"/>
    <mergeCell ref="O62:P62"/>
    <mergeCell ref="O63:P63"/>
    <mergeCell ref="O64:P64"/>
    <mergeCell ref="O65:P65"/>
    <mergeCell ref="O66:P66"/>
    <mergeCell ref="O67:P67"/>
    <mergeCell ref="L64:M64"/>
    <mergeCell ref="L65:M65"/>
    <mergeCell ref="L60:M60"/>
    <mergeCell ref="L61:M61"/>
    <mergeCell ref="L62:M62"/>
    <mergeCell ref="L63:M63"/>
    <mergeCell ref="AE61:AF61"/>
    <mergeCell ref="AE62:AF62"/>
    <mergeCell ref="AE63:AF63"/>
    <mergeCell ref="AE64:AF64"/>
    <mergeCell ref="AE65:AF65"/>
    <mergeCell ref="AE66:AF66"/>
    <mergeCell ref="AE67:AF67"/>
    <mergeCell ref="J66:K66"/>
    <mergeCell ref="J67:K67"/>
    <mergeCell ref="V64:W64"/>
    <mergeCell ref="V65:W65"/>
    <mergeCell ref="V66:W66"/>
    <mergeCell ref="V67:W67"/>
    <mergeCell ref="L66:M66"/>
    <mergeCell ref="L67:M67"/>
    <mergeCell ref="S62:T62"/>
    <mergeCell ref="S63:T63"/>
    <mergeCell ref="S64:T64"/>
    <mergeCell ref="S65:T65"/>
    <mergeCell ref="S66:T66"/>
    <mergeCell ref="S67:T67"/>
    <mergeCell ref="X61:Y61"/>
    <mergeCell ref="X62:Y62"/>
    <mergeCell ref="X63:Y63"/>
    <mergeCell ref="X64:Y64"/>
    <mergeCell ref="X65:Y65"/>
    <mergeCell ref="X66:Y66"/>
    <mergeCell ref="X67:Y67"/>
    <mergeCell ref="Z60:AA60"/>
    <mergeCell ref="Z61:AA61"/>
    <mergeCell ref="Z62:AA62"/>
    <mergeCell ref="Z63:AA63"/>
    <mergeCell ref="Z64:AA64"/>
    <mergeCell ref="Z65:AA65"/>
    <mergeCell ref="Z66:AA66"/>
    <mergeCell ref="Z67:AA67"/>
    <mergeCell ref="AQ60:AR60"/>
    <mergeCell ref="AQ61:AR61"/>
    <mergeCell ref="AQ62:AR62"/>
    <mergeCell ref="AQ63:AR63"/>
    <mergeCell ref="AQ64:AR64"/>
    <mergeCell ref="AQ65:AR65"/>
    <mergeCell ref="AQ66:AR66"/>
    <mergeCell ref="AQ67:AR67"/>
    <mergeCell ref="AL60:AM60"/>
    <mergeCell ref="AL61:AM61"/>
    <mergeCell ref="AL62:AM62"/>
    <mergeCell ref="AL63:AM63"/>
    <mergeCell ref="AL64:AM64"/>
    <mergeCell ref="AL65:AM65"/>
    <mergeCell ref="AL66:AM66"/>
    <mergeCell ref="AL67:AM67"/>
    <mergeCell ref="AN64:AO64"/>
    <mergeCell ref="AN65:AO65"/>
    <mergeCell ref="AN66:AO66"/>
    <mergeCell ref="AN67:AO67"/>
    <mergeCell ref="AN60:AO60"/>
    <mergeCell ref="AN61:AO61"/>
    <mergeCell ref="AN62:AO62"/>
    <mergeCell ref="AN63:AO63"/>
    <mergeCell ref="AJ60:AK60"/>
    <mergeCell ref="AJ61:AK61"/>
    <mergeCell ref="AJ62:AK62"/>
    <mergeCell ref="AJ63:AK63"/>
    <mergeCell ref="AJ64:AK64"/>
    <mergeCell ref="AJ65:AK65"/>
    <mergeCell ref="AJ66:AK66"/>
    <mergeCell ref="AJ67:AK67"/>
    <mergeCell ref="AC61:AD61"/>
    <mergeCell ref="AC62:AD62"/>
    <mergeCell ref="AC63:AD63"/>
    <mergeCell ref="AC64:AD64"/>
    <mergeCell ref="AC65:AD65"/>
    <mergeCell ref="AC66:AD66"/>
    <mergeCell ref="AG65:AH65"/>
    <mergeCell ref="AG66:AH66"/>
    <mergeCell ref="AG67:AH67"/>
    <mergeCell ref="AG60:AH60"/>
    <mergeCell ref="AG61:AH61"/>
    <mergeCell ref="AG62:AH62"/>
    <mergeCell ref="AG63:AH63"/>
    <mergeCell ref="AG64:AH64"/>
    <mergeCell ref="AC67:AD67"/>
    <mergeCell ref="AE60:AF60"/>
    <mergeCell ref="A54:A56"/>
    <mergeCell ref="A16:A17"/>
    <mergeCell ref="C44:D44"/>
    <mergeCell ref="E44:I44"/>
    <mergeCell ref="L44:P44"/>
    <mergeCell ref="S44:W44"/>
    <mergeCell ref="Z44:AD44"/>
    <mergeCell ref="AG44:AK44"/>
    <mergeCell ref="AN44:AR44"/>
    <mergeCell ref="C25:D25"/>
    <mergeCell ref="E25:I25"/>
    <mergeCell ref="L25:P25"/>
    <mergeCell ref="C18:D18"/>
    <mergeCell ref="E18:I18"/>
    <mergeCell ref="L18:P18"/>
    <mergeCell ref="C30:D30"/>
    <mergeCell ref="C29:D29"/>
    <mergeCell ref="E29:I29"/>
    <mergeCell ref="C28:D28"/>
    <mergeCell ref="E28:I28"/>
    <mergeCell ref="S18:W18"/>
    <mergeCell ref="Z18:AD18"/>
    <mergeCell ref="AL16:AR16"/>
    <mergeCell ref="S17:W17"/>
  </mergeCells>
  <phoneticPr fontId="16" type="noConversion"/>
  <dataValidations count="1">
    <dataValidation type="list" errorStyle="warning" allowBlank="1" showInputMessage="1" showErrorMessage="1" sqref="I5:I9" xr:uid="{E2A667D6-9571-4B28-8A0A-7F047FCB1550}">
      <formula1>$AD$1:$AD$3</formula1>
    </dataValidation>
  </dataValidations>
  <pageMargins left="0.25" right="0.25" top="0.75" bottom="0.75" header="0.3" footer="0.3"/>
  <pageSetup paperSize="9" scale="41" fitToHeight="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'вспомогательная таблица'!$A$1:$A$2</xm:f>
          </x14:formula1>
          <xm:sqref>M62:M67 T62:T67 AA62:AA67 AA5:AA9 AE32:AE36 AL32:AL36 J32:J36 Q32:Q36 X32:X36 AO62:AO67 AH62:AH67 Q38:Q43 J38:J43 AE38:AE43 AL38:AL43 X38:X43 J45:J48 AL45:AL48 AE45:AE48 Q45:Q48 X45:X48 X18:X30 AE18:AE30 Q18:Q30 AL18:AL30 J18:J19 J21:J30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41D4E-EE4A-403D-BB31-9377DAF9B83F}">
  <dimension ref="A1:B5"/>
  <sheetViews>
    <sheetView workbookViewId="0"/>
  </sheetViews>
  <sheetFormatPr defaultRowHeight="15" x14ac:dyDescent="0.25"/>
  <sheetData>
    <row r="1" spans="1:2" x14ac:dyDescent="0.25">
      <c r="A1" s="158" t="s">
        <v>154</v>
      </c>
      <c r="B1" s="158" t="s">
        <v>155</v>
      </c>
    </row>
    <row r="2" spans="1:2" x14ac:dyDescent="0.25">
      <c r="A2" t="s">
        <v>150</v>
      </c>
      <c r="B2" t="s">
        <v>156</v>
      </c>
    </row>
    <row r="3" spans="1:2" x14ac:dyDescent="0.25">
      <c r="A3" t="s">
        <v>151</v>
      </c>
      <c r="B3" t="s">
        <v>157</v>
      </c>
    </row>
    <row r="4" spans="1:2" x14ac:dyDescent="0.25">
      <c r="A4" t="s">
        <v>152</v>
      </c>
      <c r="B4" t="s">
        <v>158</v>
      </c>
    </row>
    <row r="5" spans="1:2" x14ac:dyDescent="0.25">
      <c r="A5" t="s">
        <v>153</v>
      </c>
      <c r="B5" t="s">
        <v>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L5" sqref="L5"/>
    </sheetView>
  </sheetViews>
  <sheetFormatPr defaultRowHeight="15" x14ac:dyDescent="0.25"/>
  <sheetData>
    <row r="1" spans="1:1" x14ac:dyDescent="0.25">
      <c r="A1" t="s">
        <v>33</v>
      </c>
    </row>
    <row r="2" spans="1:1" x14ac:dyDescent="0.25">
      <c r="A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 лист_ДП_Отчет</vt:lpstr>
      <vt:lpstr>Тех_метки_для_Python</vt:lpstr>
      <vt:lpstr>вспомогательная таблица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Олеся Коломиец</cp:lastModifiedBy>
  <cp:lastPrinted>2026-04-10T14:11:54Z</cp:lastPrinted>
  <dcterms:created xsi:type="dcterms:W3CDTF">2026-01-28T15:21:23Z</dcterms:created>
  <dcterms:modified xsi:type="dcterms:W3CDTF">2026-07-11T19:23:19Z</dcterms:modified>
</cp:coreProperties>
</file>